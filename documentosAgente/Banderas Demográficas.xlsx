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deras Demográficas" sheetId="1" r:id="rId4"/>
  </sheets>
  <definedNames/>
  <calcPr/>
</workbook>
</file>

<file path=xl/sharedStrings.xml><?xml version="1.0" encoding="utf-8"?>
<sst xmlns="http://schemas.openxmlformats.org/spreadsheetml/2006/main" count="100" uniqueCount="100">
  <si>
    <t>Bandera</t>
  </si>
  <si>
    <t>Alcance</t>
  </si>
  <si>
    <t>Mujeres</t>
  </si>
  <si>
    <t>Hombres</t>
  </si>
  <si>
    <t>18 a 24</t>
  </si>
  <si>
    <t>25 a 34</t>
  </si>
  <si>
    <t>35 a 44</t>
  </si>
  <si>
    <t>45 a 55</t>
  </si>
  <si>
    <t>56 +</t>
  </si>
  <si>
    <t>NSE 1-2</t>
  </si>
  <si>
    <t>NSE 3-4</t>
  </si>
  <si>
    <t>NSE 5-6</t>
  </si>
  <si>
    <t>Género</t>
  </si>
  <si>
    <t>Edad</t>
  </si>
  <si>
    <t>NSE</t>
  </si>
  <si>
    <t>% Mujeres</t>
  </si>
  <si>
    <t>% Hombres</t>
  </si>
  <si>
    <t>% 18 a 24</t>
  </si>
  <si>
    <t>% 25 a 34</t>
  </si>
  <si>
    <t>% 35 a 44</t>
  </si>
  <si>
    <t>% 45 a 55</t>
  </si>
  <si>
    <t>% 56 +</t>
  </si>
  <si>
    <t>% NSE 1-2</t>
  </si>
  <si>
    <t>% NSE 3-4</t>
  </si>
  <si>
    <t>% NSE 5-6</t>
  </si>
  <si>
    <t>ban_negocios</t>
  </si>
  <si>
    <t>ban_gastrobar</t>
  </si>
  <si>
    <t>ban_mora_cartera</t>
  </si>
  <si>
    <t>ban_clase_alta</t>
  </si>
  <si>
    <t>ban_electrodomesticos</t>
  </si>
  <si>
    <t>ban_cajas_compensacion</t>
  </si>
  <si>
    <t>ban_futbol</t>
  </si>
  <si>
    <t>ban_finca_raiz</t>
  </si>
  <si>
    <t>ban_drogueria</t>
  </si>
  <si>
    <t>ban_tec_camaras</t>
  </si>
  <si>
    <t>ban_deportistas</t>
  </si>
  <si>
    <t>ban_familia</t>
  </si>
  <si>
    <t>ban_comidaybebida</t>
  </si>
  <si>
    <t>ban_comprasymoda</t>
  </si>
  <si>
    <t>ban_construccion</t>
  </si>
  <si>
    <t>ban_videoxxx</t>
  </si>
  <si>
    <t>ban_entretenimiento</t>
  </si>
  <si>
    <t>ban_giros</t>
  </si>
  <si>
    <t>ban_competencia</t>
  </si>
  <si>
    <t>ban_bebidas_alcoholicas</t>
  </si>
  <si>
    <t>ban_tec_tv</t>
  </si>
  <si>
    <t>ban_empleo</t>
  </si>
  <si>
    <t>ban_hobbies</t>
  </si>
  <si>
    <t>ban_tec_audio</t>
  </si>
  <si>
    <t>ban_seguros</t>
  </si>
  <si>
    <t>ban_salud_fitness</t>
  </si>
  <si>
    <t>ban_finanzas_pers</t>
  </si>
  <si>
    <t>ban_automotor</t>
  </si>
  <si>
    <t>educacion</t>
  </si>
  <si>
    <t>ban_musica</t>
  </si>
  <si>
    <t>ban_clase_media</t>
  </si>
  <si>
    <t>ban_apps_citas</t>
  </si>
  <si>
    <t>ban_emprendedores</t>
  </si>
  <si>
    <t>ban_rcs</t>
  </si>
  <si>
    <t>ban_geolocalizacion</t>
  </si>
  <si>
    <t>ban_conciertos</t>
  </si>
  <si>
    <t>ban_emprendedores_emp</t>
  </si>
  <si>
    <t>ban_moda</t>
  </si>
  <si>
    <t>ban_redes_sociales</t>
  </si>
  <si>
    <t>ban_domicilios</t>
  </si>
  <si>
    <t>ban_banca</t>
  </si>
  <si>
    <t>ban_apps_transporte</t>
  </si>
  <si>
    <t>ban_salud</t>
  </si>
  <si>
    <t>ban_marketplaces</t>
  </si>
  <si>
    <t>ban_cliente_hogar</t>
  </si>
  <si>
    <t>ban_grandes_superficies</t>
  </si>
  <si>
    <t>ban_planclaro_video</t>
  </si>
  <si>
    <t>ban_supermercados</t>
  </si>
  <si>
    <t>ban_apuestas</t>
  </si>
  <si>
    <t>ban_tec_iot</t>
  </si>
  <si>
    <t>ban_tec_computadores</t>
  </si>
  <si>
    <t>ban_comunicaciones</t>
  </si>
  <si>
    <t>ban_claroappcont</t>
  </si>
  <si>
    <t>ban_tec_celulares</t>
  </si>
  <si>
    <t>ban_video</t>
  </si>
  <si>
    <t>ban_empleadores</t>
  </si>
  <si>
    <t>ban_padres_bebes</t>
  </si>
  <si>
    <t>ban_cine</t>
  </si>
  <si>
    <t>ban_gamers</t>
  </si>
  <si>
    <t>ban_pagos_online</t>
  </si>
  <si>
    <t>ban_hogar</t>
  </si>
  <si>
    <t>ban_deportes</t>
  </si>
  <si>
    <t>ban_motocicletas</t>
  </si>
  <si>
    <t>ban_tecnologia</t>
  </si>
  <si>
    <t>ban_planclaro_musica</t>
  </si>
  <si>
    <t>ban_mascotas</t>
  </si>
  <si>
    <t>ban_noticias</t>
  </si>
  <si>
    <t>ban_billetera</t>
  </si>
  <si>
    <t>ban_celulares</t>
  </si>
  <si>
    <t>ban_tec_electrodomesticos</t>
  </si>
  <si>
    <t>ban_finanzas</t>
  </si>
  <si>
    <t>ban_miclaroapp</t>
  </si>
  <si>
    <t>ban_mensajeria</t>
  </si>
  <si>
    <t>ban_turismo</t>
  </si>
  <si>
    <t>ban_cosmeticos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</si>
</sst>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horizontal="center" readingOrder="0" vertical="bottom"/>
    </xf>
    <xf borderId="0" fillId="2" fontId="3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3" fontId="1" numFmtId="3" xfId="0" applyAlignment="1" applyFill="1" applyFont="1" applyNumberFormat="1">
      <alignment horizontal="right" vertical="bottom"/>
    </xf>
    <xf borderId="0" fillId="3" fontId="4" numFmtId="3" xfId="0" applyFont="1" applyNumberFormat="1"/>
    <xf borderId="0" fillId="3" fontId="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s="4" t="s">
        <v>25</v>
      </c>
      <c r="B2" s="5">
        <v>2469743.0</v>
      </c>
      <c r="C2" s="5">
        <v>1079936.0</v>
      </c>
      <c r="D2" s="5">
        <v>1327659.0</v>
      </c>
      <c r="E2" s="5">
        <v>135949.0</v>
      </c>
      <c r="F2" s="5">
        <v>491937.0</v>
      </c>
      <c r="G2" s="5">
        <v>511348.0</v>
      </c>
      <c r="H2" s="5">
        <v>364937.0</v>
      </c>
      <c r="I2" s="5">
        <v>390770.0</v>
      </c>
      <c r="J2" s="5">
        <v>520400.0</v>
      </c>
      <c r="K2" s="5">
        <v>350057.0</v>
      </c>
      <c r="L2" s="5">
        <v>37779.0</v>
      </c>
      <c r="M2" s="6">
        <f t="shared" ref="M2:M76" si="3">D2+C2</f>
        <v>2407595</v>
      </c>
      <c r="N2" s="6">
        <f t="shared" ref="N2:N76" si="4">SUM(E2:I2)</f>
        <v>1894941</v>
      </c>
      <c r="O2" s="7">
        <f t="shared" ref="O2:O76" si="5">SUM(J2:L2)</f>
        <v>908236</v>
      </c>
      <c r="P2" s="8">
        <f t="shared" ref="P2:P76" si="6">C2/M2</f>
        <v>0.4485538473</v>
      </c>
      <c r="Q2" s="8">
        <f t="shared" ref="Q2:R2" si="1">D2/M2</f>
        <v>0.5514461527</v>
      </c>
      <c r="R2" s="8">
        <f t="shared" si="1"/>
        <v>0.07174313079</v>
      </c>
      <c r="S2" s="8">
        <f t="shared" ref="S2:S76" si="8">F2/N2</f>
        <v>0.2596054442</v>
      </c>
      <c r="T2" s="8">
        <f t="shared" ref="T2:T76" si="9">G2/N2</f>
        <v>0.2698490349</v>
      </c>
      <c r="U2" s="8">
        <f t="shared" ref="U2:U76" si="10">H2/N2</f>
        <v>0.1925848879</v>
      </c>
      <c r="V2" s="8">
        <f t="shared" ref="V2:W2" si="2">I2/N2</f>
        <v>0.2062175023</v>
      </c>
      <c r="W2" s="8">
        <f t="shared" si="2"/>
        <v>0.5729788293</v>
      </c>
      <c r="X2" s="8">
        <f t="shared" ref="X2:X76" si="12">K2/O2</f>
        <v>0.3854251538</v>
      </c>
      <c r="Y2" s="8">
        <f t="shared" ref="Y2:Y76" si="13">L2/O2</f>
        <v>0.04159601689</v>
      </c>
    </row>
    <row r="3">
      <c r="A3" s="4" t="s">
        <v>26</v>
      </c>
      <c r="B3" s="5">
        <v>2910901.0</v>
      </c>
      <c r="C3" s="5">
        <v>1507261.0</v>
      </c>
      <c r="D3" s="5">
        <v>1327887.0</v>
      </c>
      <c r="E3" s="5">
        <v>223835.0</v>
      </c>
      <c r="F3" s="5">
        <v>631110.0</v>
      </c>
      <c r="G3" s="5">
        <v>570685.0</v>
      </c>
      <c r="H3" s="5">
        <v>380197.0</v>
      </c>
      <c r="I3" s="5">
        <v>358805.0</v>
      </c>
      <c r="J3" s="5">
        <v>550681.0</v>
      </c>
      <c r="K3" s="5">
        <v>399531.0</v>
      </c>
      <c r="L3" s="5">
        <v>48560.0</v>
      </c>
      <c r="M3" s="6">
        <f t="shared" si="3"/>
        <v>2835148</v>
      </c>
      <c r="N3" s="6">
        <f t="shared" si="4"/>
        <v>2164632</v>
      </c>
      <c r="O3" s="7">
        <f t="shared" si="5"/>
        <v>998772</v>
      </c>
      <c r="P3" s="8">
        <f t="shared" si="6"/>
        <v>0.5316339747</v>
      </c>
      <c r="Q3" s="8">
        <f t="shared" ref="Q3:R3" si="7">D3/M3</f>
        <v>0.4683660253</v>
      </c>
      <c r="R3" s="8">
        <f t="shared" si="7"/>
        <v>0.1034055673</v>
      </c>
      <c r="S3" s="8">
        <f t="shared" si="8"/>
        <v>0.2915553313</v>
      </c>
      <c r="T3" s="8">
        <f t="shared" si="9"/>
        <v>0.2636406558</v>
      </c>
      <c r="U3" s="8">
        <f t="shared" si="10"/>
        <v>0.1756404784</v>
      </c>
      <c r="V3" s="8">
        <f t="shared" ref="V3:W3" si="11">I3/N3</f>
        <v>0.1657579672</v>
      </c>
      <c r="W3" s="8">
        <f t="shared" si="11"/>
        <v>0.5513580677</v>
      </c>
      <c r="X3" s="8">
        <f t="shared" si="12"/>
        <v>0.4000222273</v>
      </c>
      <c r="Y3" s="8">
        <f t="shared" si="13"/>
        <v>0.048619705</v>
      </c>
    </row>
    <row r="4">
      <c r="A4" s="4" t="s">
        <v>27</v>
      </c>
      <c r="B4" s="5">
        <v>954054.0</v>
      </c>
      <c r="C4" s="5">
        <v>412972.0</v>
      </c>
      <c r="D4" s="5">
        <v>511334.0</v>
      </c>
      <c r="E4" s="5">
        <v>165500.0</v>
      </c>
      <c r="F4" s="5">
        <v>280952.0</v>
      </c>
      <c r="G4" s="5">
        <v>202628.0</v>
      </c>
      <c r="H4" s="5">
        <v>130238.0</v>
      </c>
      <c r="I4" s="5">
        <v>124820.0</v>
      </c>
      <c r="J4" s="5">
        <v>147176.0</v>
      </c>
      <c r="K4" s="5">
        <v>82173.0</v>
      </c>
      <c r="L4" s="5">
        <v>10138.0</v>
      </c>
      <c r="M4" s="6">
        <f t="shared" si="3"/>
        <v>924306</v>
      </c>
      <c r="N4" s="6">
        <f t="shared" si="4"/>
        <v>904138</v>
      </c>
      <c r="O4" s="7">
        <f t="shared" si="5"/>
        <v>239487</v>
      </c>
      <c r="P4" s="8">
        <f t="shared" si="6"/>
        <v>0.4467914305</v>
      </c>
      <c r="Q4" s="8">
        <f t="shared" ref="Q4:R4" si="14">D4/M4</f>
        <v>0.5532085695</v>
      </c>
      <c r="R4" s="8">
        <f t="shared" si="14"/>
        <v>0.1830472782</v>
      </c>
      <c r="S4" s="8">
        <f t="shared" si="8"/>
        <v>0.3107401746</v>
      </c>
      <c r="T4" s="8">
        <f t="shared" si="9"/>
        <v>0.2241118059</v>
      </c>
      <c r="U4" s="8">
        <f t="shared" si="10"/>
        <v>0.1440465947</v>
      </c>
      <c r="V4" s="8">
        <f t="shared" ref="V4:W4" si="15">I4/N4</f>
        <v>0.1380541466</v>
      </c>
      <c r="W4" s="8">
        <f t="shared" si="15"/>
        <v>0.6145469274</v>
      </c>
      <c r="X4" s="8">
        <f t="shared" si="12"/>
        <v>0.343120921</v>
      </c>
      <c r="Y4" s="8">
        <f t="shared" si="13"/>
        <v>0.04233215164</v>
      </c>
    </row>
    <row r="5">
      <c r="A5" s="4" t="s">
        <v>28</v>
      </c>
      <c r="B5" s="5">
        <v>1044306.0</v>
      </c>
      <c r="C5" s="5">
        <v>498830.0</v>
      </c>
      <c r="D5" s="5">
        <v>510612.0</v>
      </c>
      <c r="E5" s="5">
        <v>89819.0</v>
      </c>
      <c r="F5" s="5">
        <v>245747.0</v>
      </c>
      <c r="G5" s="5">
        <v>194883.0</v>
      </c>
      <c r="H5" s="5">
        <v>132744.0</v>
      </c>
      <c r="I5" s="5">
        <v>146945.0</v>
      </c>
      <c r="J5" s="5">
        <v>159936.0</v>
      </c>
      <c r="K5" s="5">
        <v>183566.0</v>
      </c>
      <c r="L5" s="5">
        <v>40607.0</v>
      </c>
      <c r="M5" s="6">
        <f t="shared" si="3"/>
        <v>1009442</v>
      </c>
      <c r="N5" s="6">
        <f t="shared" si="4"/>
        <v>810138</v>
      </c>
      <c r="O5" s="7">
        <f t="shared" si="5"/>
        <v>384109</v>
      </c>
      <c r="P5" s="8">
        <f t="shared" si="6"/>
        <v>0.4941641025</v>
      </c>
      <c r="Q5" s="8">
        <f t="shared" ref="Q5:R5" si="16">D5/M5</f>
        <v>0.5058358975</v>
      </c>
      <c r="R5" s="8">
        <f t="shared" si="16"/>
        <v>0.1108687656</v>
      </c>
      <c r="S5" s="8">
        <f t="shared" si="8"/>
        <v>0.3033396779</v>
      </c>
      <c r="T5" s="8">
        <f t="shared" si="9"/>
        <v>0.2405553128</v>
      </c>
      <c r="U5" s="8">
        <f t="shared" si="10"/>
        <v>0.1638535657</v>
      </c>
      <c r="V5" s="8">
        <f t="shared" ref="V5:W5" si="17">I5/N5</f>
        <v>0.181382678</v>
      </c>
      <c r="W5" s="8">
        <f t="shared" si="17"/>
        <v>0.4163818083</v>
      </c>
      <c r="X5" s="8">
        <f t="shared" si="12"/>
        <v>0.4779008042</v>
      </c>
      <c r="Y5" s="8">
        <f t="shared" si="13"/>
        <v>0.1057173875</v>
      </c>
    </row>
    <row r="6">
      <c r="A6" s="4" t="s">
        <v>29</v>
      </c>
      <c r="B6" s="5">
        <v>3929072.0</v>
      </c>
      <c r="C6" s="5">
        <v>1711926.0</v>
      </c>
      <c r="D6" s="5">
        <v>1951843.0</v>
      </c>
      <c r="E6" s="5">
        <v>308467.0</v>
      </c>
      <c r="F6" s="5">
        <v>787405.0</v>
      </c>
      <c r="G6" s="5">
        <v>733029.0</v>
      </c>
      <c r="H6" s="5">
        <v>516335.0</v>
      </c>
      <c r="I6" s="5">
        <v>541116.0</v>
      </c>
      <c r="J6" s="5">
        <v>667107.0</v>
      </c>
      <c r="K6" s="5">
        <v>507195.0</v>
      </c>
      <c r="L6" s="5">
        <v>72356.0</v>
      </c>
      <c r="M6" s="6">
        <f t="shared" si="3"/>
        <v>3663769</v>
      </c>
      <c r="N6" s="6">
        <f t="shared" si="4"/>
        <v>2886352</v>
      </c>
      <c r="O6" s="7">
        <f t="shared" si="5"/>
        <v>1246658</v>
      </c>
      <c r="P6" s="8">
        <f t="shared" si="6"/>
        <v>0.4672581705</v>
      </c>
      <c r="Q6" s="8">
        <f t="shared" ref="Q6:R6" si="18">D6/M6</f>
        <v>0.5327418295</v>
      </c>
      <c r="R6" s="8">
        <f t="shared" si="18"/>
        <v>0.1068708875</v>
      </c>
      <c r="S6" s="8">
        <f t="shared" si="8"/>
        <v>0.2728028321</v>
      </c>
      <c r="T6" s="8">
        <f t="shared" si="9"/>
        <v>0.253963827</v>
      </c>
      <c r="U6" s="8">
        <f t="shared" si="10"/>
        <v>0.1788884377</v>
      </c>
      <c r="V6" s="8">
        <f t="shared" ref="V6:W6" si="19">I6/N6</f>
        <v>0.1874740156</v>
      </c>
      <c r="W6" s="8">
        <f t="shared" si="19"/>
        <v>0.5351162869</v>
      </c>
      <c r="X6" s="8">
        <f t="shared" si="12"/>
        <v>0.4068437374</v>
      </c>
      <c r="Y6" s="8">
        <f t="shared" si="13"/>
        <v>0.05803997568</v>
      </c>
    </row>
    <row r="7">
      <c r="A7" s="4" t="s">
        <v>30</v>
      </c>
      <c r="B7" s="5">
        <v>662232.0</v>
      </c>
      <c r="C7" s="5">
        <v>322946.0</v>
      </c>
      <c r="D7" s="5">
        <v>289548.0</v>
      </c>
      <c r="E7" s="5">
        <v>52797.0</v>
      </c>
      <c r="F7" s="5">
        <v>168485.0</v>
      </c>
      <c r="G7" s="5">
        <v>154473.0</v>
      </c>
      <c r="H7" s="5">
        <v>92986.0</v>
      </c>
      <c r="I7" s="5">
        <v>84553.0</v>
      </c>
      <c r="J7" s="5">
        <v>128954.0</v>
      </c>
      <c r="K7" s="5">
        <v>101023.0</v>
      </c>
      <c r="L7" s="5">
        <v>9321.0</v>
      </c>
      <c r="M7" s="6">
        <f t="shared" si="3"/>
        <v>612494</v>
      </c>
      <c r="N7" s="6">
        <f t="shared" si="4"/>
        <v>553294</v>
      </c>
      <c r="O7" s="7">
        <f t="shared" si="5"/>
        <v>239298</v>
      </c>
      <c r="P7" s="8">
        <f t="shared" si="6"/>
        <v>0.5272639405</v>
      </c>
      <c r="Q7" s="8">
        <f t="shared" ref="Q7:R7" si="20">D7/M7</f>
        <v>0.4727360595</v>
      </c>
      <c r="R7" s="8">
        <f t="shared" si="20"/>
        <v>0.09542304814</v>
      </c>
      <c r="S7" s="8">
        <f t="shared" si="8"/>
        <v>0.3045126099</v>
      </c>
      <c r="T7" s="8">
        <f t="shared" si="9"/>
        <v>0.2791879182</v>
      </c>
      <c r="U7" s="8">
        <f t="shared" si="10"/>
        <v>0.1680589343</v>
      </c>
      <c r="V7" s="8">
        <f t="shared" ref="V7:W7" si="21">I7/N7</f>
        <v>0.1528174894</v>
      </c>
      <c r="W7" s="8">
        <f t="shared" si="21"/>
        <v>0.5388845707</v>
      </c>
      <c r="X7" s="8">
        <f t="shared" si="12"/>
        <v>0.4221639964</v>
      </c>
      <c r="Y7" s="8">
        <f t="shared" si="13"/>
        <v>0.03895143294</v>
      </c>
    </row>
    <row r="8">
      <c r="A8" s="4" t="s">
        <v>31</v>
      </c>
      <c r="B8" s="5">
        <v>2050355.0</v>
      </c>
      <c r="C8" s="5">
        <v>680871.0</v>
      </c>
      <c r="D8" s="5">
        <v>1179827.0</v>
      </c>
      <c r="E8" s="5">
        <v>175977.0</v>
      </c>
      <c r="F8" s="5">
        <v>424328.0</v>
      </c>
      <c r="G8" s="5">
        <v>412401.0</v>
      </c>
      <c r="H8" s="5">
        <v>290340.0</v>
      </c>
      <c r="I8" s="5">
        <v>326995.0</v>
      </c>
      <c r="J8" s="5">
        <v>357275.0</v>
      </c>
      <c r="K8" s="5">
        <v>289734.0</v>
      </c>
      <c r="L8" s="5">
        <v>34436.0</v>
      </c>
      <c r="M8" s="6">
        <f t="shared" si="3"/>
        <v>1860698</v>
      </c>
      <c r="N8" s="6">
        <f t="shared" si="4"/>
        <v>1630041</v>
      </c>
      <c r="O8" s="7">
        <f t="shared" si="5"/>
        <v>681445</v>
      </c>
      <c r="P8" s="8">
        <f t="shared" si="6"/>
        <v>0.3659223582</v>
      </c>
      <c r="Q8" s="8">
        <f t="shared" ref="Q8:R8" si="22">D8/M8</f>
        <v>0.6340776418</v>
      </c>
      <c r="R8" s="8">
        <f t="shared" si="22"/>
        <v>0.1079586342</v>
      </c>
      <c r="S8" s="8">
        <f t="shared" si="8"/>
        <v>0.2603173785</v>
      </c>
      <c r="T8" s="8">
        <f t="shared" si="9"/>
        <v>0.2530003847</v>
      </c>
      <c r="U8" s="8">
        <f t="shared" si="10"/>
        <v>0.1781182191</v>
      </c>
      <c r="V8" s="8">
        <f t="shared" ref="V8:W8" si="23">I8/N8</f>
        <v>0.2006053835</v>
      </c>
      <c r="W8" s="8">
        <f t="shared" si="23"/>
        <v>0.5242902949</v>
      </c>
      <c r="X8" s="8">
        <f t="shared" si="12"/>
        <v>0.4251759129</v>
      </c>
      <c r="Y8" s="8">
        <f t="shared" si="13"/>
        <v>0.05053379216</v>
      </c>
    </row>
    <row r="9">
      <c r="A9" s="4" t="s">
        <v>32</v>
      </c>
      <c r="B9" s="5">
        <v>24858.0</v>
      </c>
      <c r="C9" s="5">
        <v>12551.0</v>
      </c>
      <c r="D9" s="5">
        <v>11893.0</v>
      </c>
      <c r="E9" s="5">
        <v>965.0</v>
      </c>
      <c r="F9" s="5">
        <v>5511.0</v>
      </c>
      <c r="G9" s="5">
        <v>5894.0</v>
      </c>
      <c r="H9" s="5">
        <v>4033.0</v>
      </c>
      <c r="I9" s="5">
        <v>4946.0</v>
      </c>
      <c r="J9" s="5">
        <v>4754.0</v>
      </c>
      <c r="K9" s="5">
        <v>5623.0</v>
      </c>
      <c r="L9" s="5">
        <v>802.0</v>
      </c>
      <c r="M9" s="6">
        <f t="shared" si="3"/>
        <v>24444</v>
      </c>
      <c r="N9" s="6">
        <f t="shared" si="4"/>
        <v>21349</v>
      </c>
      <c r="O9" s="7">
        <f t="shared" si="5"/>
        <v>11179</v>
      </c>
      <c r="P9" s="8">
        <f t="shared" si="6"/>
        <v>0.5134593356</v>
      </c>
      <c r="Q9" s="8">
        <f t="shared" ref="Q9:R9" si="24">D9/M9</f>
        <v>0.4865406644</v>
      </c>
      <c r="R9" s="8">
        <f t="shared" si="24"/>
        <v>0.04520118038</v>
      </c>
      <c r="S9" s="8">
        <f t="shared" si="8"/>
        <v>0.2581385545</v>
      </c>
      <c r="T9" s="8">
        <f t="shared" si="9"/>
        <v>0.2760785048</v>
      </c>
      <c r="U9" s="8">
        <f t="shared" si="10"/>
        <v>0.1889081456</v>
      </c>
      <c r="V9" s="8">
        <f t="shared" ref="V9:W9" si="25">I9/N9</f>
        <v>0.2316736147</v>
      </c>
      <c r="W9" s="8">
        <f t="shared" si="25"/>
        <v>0.4252616513</v>
      </c>
      <c r="X9" s="8">
        <f t="shared" si="12"/>
        <v>0.5029966902</v>
      </c>
      <c r="Y9" s="8">
        <f t="shared" si="13"/>
        <v>0.07174165847</v>
      </c>
    </row>
    <row r="10">
      <c r="A10" s="4" t="s">
        <v>33</v>
      </c>
      <c r="B10" s="5">
        <v>1687315.0</v>
      </c>
      <c r="C10" s="5">
        <v>860084.0</v>
      </c>
      <c r="D10" s="5">
        <v>671185.0</v>
      </c>
      <c r="E10" s="5">
        <v>195060.0</v>
      </c>
      <c r="F10" s="5">
        <v>419703.0</v>
      </c>
      <c r="G10" s="5">
        <v>314666.0</v>
      </c>
      <c r="H10" s="5">
        <v>205678.0</v>
      </c>
      <c r="I10" s="5">
        <v>211636.0</v>
      </c>
      <c r="J10" s="5">
        <v>265242.0</v>
      </c>
      <c r="K10" s="5">
        <v>237951.0</v>
      </c>
      <c r="L10" s="5">
        <v>34107.0</v>
      </c>
      <c r="M10" s="6">
        <f t="shared" si="3"/>
        <v>1531269</v>
      </c>
      <c r="N10" s="6">
        <f t="shared" si="4"/>
        <v>1346743</v>
      </c>
      <c r="O10" s="7">
        <f t="shared" si="5"/>
        <v>537300</v>
      </c>
      <c r="P10" s="8">
        <f t="shared" si="6"/>
        <v>0.5616805408</v>
      </c>
      <c r="Q10" s="8">
        <f t="shared" ref="Q10:R10" si="26">D10/M10</f>
        <v>0.4383194592</v>
      </c>
      <c r="R10" s="8">
        <f t="shared" si="26"/>
        <v>0.1448383248</v>
      </c>
      <c r="S10" s="8">
        <f t="shared" si="8"/>
        <v>0.3116429787</v>
      </c>
      <c r="T10" s="8">
        <f t="shared" si="9"/>
        <v>0.2336496273</v>
      </c>
      <c r="U10" s="8">
        <f t="shared" si="10"/>
        <v>0.1527225313</v>
      </c>
      <c r="V10" s="8">
        <f t="shared" ref="V10:W10" si="27">I10/N10</f>
        <v>0.157146538</v>
      </c>
      <c r="W10" s="8">
        <f t="shared" si="27"/>
        <v>0.4936571748</v>
      </c>
      <c r="X10" s="8">
        <f t="shared" si="12"/>
        <v>0.4428643216</v>
      </c>
      <c r="Y10" s="8">
        <f t="shared" si="13"/>
        <v>0.06347850363</v>
      </c>
    </row>
    <row r="11">
      <c r="A11" s="4" t="s">
        <v>34</v>
      </c>
      <c r="B11" s="5">
        <v>14498.0</v>
      </c>
      <c r="C11" s="5">
        <v>6239.0</v>
      </c>
      <c r="D11" s="5">
        <v>8040.0</v>
      </c>
      <c r="E11" s="5">
        <v>778.0</v>
      </c>
      <c r="F11" s="5">
        <v>3640.0</v>
      </c>
      <c r="G11" s="5">
        <v>3694.0</v>
      </c>
      <c r="H11" s="5">
        <v>2296.0</v>
      </c>
      <c r="I11" s="5">
        <v>1924.0</v>
      </c>
      <c r="J11" s="5">
        <v>3196.0</v>
      </c>
      <c r="K11" s="5">
        <v>2628.0</v>
      </c>
      <c r="L11" s="5">
        <v>332.0</v>
      </c>
      <c r="M11" s="6">
        <f t="shared" si="3"/>
        <v>14279</v>
      </c>
      <c r="N11" s="6">
        <f t="shared" si="4"/>
        <v>12332</v>
      </c>
      <c r="O11" s="7">
        <f t="shared" si="5"/>
        <v>6156</v>
      </c>
      <c r="P11" s="8">
        <f t="shared" si="6"/>
        <v>0.4369353596</v>
      </c>
      <c r="Q11" s="8">
        <f t="shared" ref="Q11:R11" si="28">D11/M11</f>
        <v>0.5630646404</v>
      </c>
      <c r="R11" s="8">
        <f t="shared" si="28"/>
        <v>0.06308790139</v>
      </c>
      <c r="S11" s="8">
        <f t="shared" si="8"/>
        <v>0.2951670451</v>
      </c>
      <c r="T11" s="8">
        <f t="shared" si="9"/>
        <v>0.2995458969</v>
      </c>
      <c r="U11" s="8">
        <f t="shared" si="10"/>
        <v>0.18618229</v>
      </c>
      <c r="V11" s="8">
        <f t="shared" ref="V11:W11" si="29">I11/N11</f>
        <v>0.1560168667</v>
      </c>
      <c r="W11" s="8">
        <f t="shared" si="29"/>
        <v>0.5191682911</v>
      </c>
      <c r="X11" s="8">
        <f t="shared" si="12"/>
        <v>0.4269005848</v>
      </c>
      <c r="Y11" s="8">
        <f t="shared" si="13"/>
        <v>0.05393112411</v>
      </c>
    </row>
    <row r="12">
      <c r="A12" s="4" t="s">
        <v>35</v>
      </c>
      <c r="B12" s="5">
        <v>88479.0</v>
      </c>
      <c r="C12" s="5">
        <v>28105.0</v>
      </c>
      <c r="D12" s="5">
        <v>55705.0</v>
      </c>
      <c r="E12" s="5">
        <v>7842.0</v>
      </c>
      <c r="F12" s="5">
        <v>22165.0</v>
      </c>
      <c r="G12" s="5">
        <v>20960.0</v>
      </c>
      <c r="H12" s="5">
        <v>12701.0</v>
      </c>
      <c r="I12" s="5">
        <v>11509.0</v>
      </c>
      <c r="J12" s="5">
        <v>18397.0</v>
      </c>
      <c r="K12" s="5">
        <v>14016.0</v>
      </c>
      <c r="L12" s="5">
        <v>1479.0</v>
      </c>
      <c r="M12" s="6">
        <f t="shared" si="3"/>
        <v>83810</v>
      </c>
      <c r="N12" s="6">
        <f t="shared" si="4"/>
        <v>75177</v>
      </c>
      <c r="O12" s="7">
        <f t="shared" si="5"/>
        <v>33892</v>
      </c>
      <c r="P12" s="8">
        <f t="shared" si="6"/>
        <v>0.3353418446</v>
      </c>
      <c r="Q12" s="8">
        <f t="shared" ref="Q12:R12" si="30">D12/M12</f>
        <v>0.6646581554</v>
      </c>
      <c r="R12" s="8">
        <f t="shared" si="30"/>
        <v>0.1043138194</v>
      </c>
      <c r="S12" s="8">
        <f t="shared" si="8"/>
        <v>0.2948375168</v>
      </c>
      <c r="T12" s="8">
        <f t="shared" si="9"/>
        <v>0.2788086782</v>
      </c>
      <c r="U12" s="8">
        <f t="shared" si="10"/>
        <v>0.1689479495</v>
      </c>
      <c r="V12" s="8">
        <f t="shared" ref="V12:W12" si="31">I12/N12</f>
        <v>0.1530920361</v>
      </c>
      <c r="W12" s="8">
        <f t="shared" si="31"/>
        <v>0.5428124631</v>
      </c>
      <c r="X12" s="8">
        <f t="shared" si="12"/>
        <v>0.4135489201</v>
      </c>
      <c r="Y12" s="8">
        <f t="shared" si="13"/>
        <v>0.04363861678</v>
      </c>
    </row>
    <row r="13">
      <c r="A13" s="4" t="s">
        <v>36</v>
      </c>
      <c r="B13" s="5">
        <v>1.0419803E7</v>
      </c>
      <c r="C13" s="5">
        <v>4046123.0</v>
      </c>
      <c r="D13" s="5">
        <v>4567670.0</v>
      </c>
      <c r="E13" s="5">
        <v>760119.0</v>
      </c>
      <c r="F13" s="5">
        <v>1795389.0</v>
      </c>
      <c r="G13" s="5">
        <v>1687040.0</v>
      </c>
      <c r="H13" s="5">
        <v>1257387.0</v>
      </c>
      <c r="I13" s="5">
        <v>1466258.0</v>
      </c>
      <c r="J13" s="5">
        <v>1553674.0</v>
      </c>
      <c r="K13" s="5">
        <v>1208716.0</v>
      </c>
      <c r="L13" s="5">
        <v>169077.0</v>
      </c>
      <c r="M13" s="6">
        <f t="shared" si="3"/>
        <v>8613793</v>
      </c>
      <c r="N13" s="6">
        <f t="shared" si="4"/>
        <v>6966193</v>
      </c>
      <c r="O13" s="7">
        <f t="shared" si="5"/>
        <v>2931467</v>
      </c>
      <c r="P13" s="8">
        <f t="shared" si="6"/>
        <v>0.4697260545</v>
      </c>
      <c r="Q13" s="8">
        <f t="shared" ref="Q13:R13" si="32">D13/M13</f>
        <v>0.5302739455</v>
      </c>
      <c r="R13" s="8">
        <f t="shared" si="32"/>
        <v>0.1091154092</v>
      </c>
      <c r="S13" s="8">
        <f t="shared" si="8"/>
        <v>0.2577288628</v>
      </c>
      <c r="T13" s="8">
        <f t="shared" si="9"/>
        <v>0.2421753173</v>
      </c>
      <c r="U13" s="8">
        <f t="shared" si="10"/>
        <v>0.1804984444</v>
      </c>
      <c r="V13" s="8">
        <f t="shared" ref="V13:W13" si="33">I13/N13</f>
        <v>0.2104819663</v>
      </c>
      <c r="W13" s="8">
        <f t="shared" si="33"/>
        <v>0.5299988026</v>
      </c>
      <c r="X13" s="8">
        <f t="shared" si="12"/>
        <v>0.4123246143</v>
      </c>
      <c r="Y13" s="8">
        <f t="shared" si="13"/>
        <v>0.05767658309</v>
      </c>
    </row>
    <row r="14">
      <c r="A14" s="4" t="s">
        <v>37</v>
      </c>
      <c r="B14" s="5">
        <v>1096531.0</v>
      </c>
      <c r="C14" s="5">
        <v>501303.0</v>
      </c>
      <c r="D14" s="5">
        <v>508532.0</v>
      </c>
      <c r="E14" s="5">
        <v>149826.0</v>
      </c>
      <c r="F14" s="5">
        <v>319351.0</v>
      </c>
      <c r="G14" s="5">
        <v>210688.0</v>
      </c>
      <c r="H14" s="5">
        <v>124733.0</v>
      </c>
      <c r="I14" s="5">
        <v>119870.0</v>
      </c>
      <c r="J14" s="5">
        <v>144158.0</v>
      </c>
      <c r="K14" s="5">
        <v>192084.0</v>
      </c>
      <c r="L14" s="5">
        <v>44360.0</v>
      </c>
      <c r="M14" s="6">
        <f t="shared" si="3"/>
        <v>1009835</v>
      </c>
      <c r="N14" s="6">
        <f t="shared" si="4"/>
        <v>924468</v>
      </c>
      <c r="O14" s="7">
        <f t="shared" si="5"/>
        <v>380602</v>
      </c>
      <c r="P14" s="8">
        <f t="shared" si="6"/>
        <v>0.4964207024</v>
      </c>
      <c r="Q14" s="8">
        <f t="shared" ref="Q14:R14" si="34">D14/M14</f>
        <v>0.5035792976</v>
      </c>
      <c r="R14" s="8">
        <f t="shared" si="34"/>
        <v>0.1620672646</v>
      </c>
      <c r="S14" s="8">
        <f t="shared" si="8"/>
        <v>0.3454430007</v>
      </c>
      <c r="T14" s="8">
        <f t="shared" si="9"/>
        <v>0.2279018852</v>
      </c>
      <c r="U14" s="8">
        <f t="shared" si="10"/>
        <v>0.1349240861</v>
      </c>
      <c r="V14" s="8">
        <f t="shared" ref="V14:W14" si="35">I14/N14</f>
        <v>0.1296637634</v>
      </c>
      <c r="W14" s="8">
        <f t="shared" si="35"/>
        <v>0.3787631174</v>
      </c>
      <c r="X14" s="8">
        <f t="shared" si="12"/>
        <v>0.5046846837</v>
      </c>
      <c r="Y14" s="8">
        <f t="shared" si="13"/>
        <v>0.1165521989</v>
      </c>
    </row>
    <row r="15">
      <c r="A15" s="4" t="s">
        <v>38</v>
      </c>
      <c r="B15" s="5">
        <v>3054438.0</v>
      </c>
      <c r="C15" s="5">
        <v>1444695.0</v>
      </c>
      <c r="D15" s="5">
        <v>1343784.0</v>
      </c>
      <c r="E15" s="5">
        <v>302991.0</v>
      </c>
      <c r="F15" s="5">
        <v>721649.0</v>
      </c>
      <c r="G15" s="5">
        <v>627153.0</v>
      </c>
      <c r="H15" s="5">
        <v>415215.0</v>
      </c>
      <c r="I15" s="5">
        <v>410981.0</v>
      </c>
      <c r="J15" s="5">
        <v>507210.0</v>
      </c>
      <c r="K15" s="5">
        <v>451679.0</v>
      </c>
      <c r="L15" s="5">
        <v>65243.0</v>
      </c>
      <c r="M15" s="6">
        <f t="shared" si="3"/>
        <v>2788479</v>
      </c>
      <c r="N15" s="6">
        <f t="shared" si="4"/>
        <v>2477989</v>
      </c>
      <c r="O15" s="7">
        <f t="shared" si="5"/>
        <v>1024132</v>
      </c>
      <c r="P15" s="8">
        <f t="shared" si="6"/>
        <v>0.5180942729</v>
      </c>
      <c r="Q15" s="8">
        <f t="shared" ref="Q15:R15" si="36">D15/M15</f>
        <v>0.4819057271</v>
      </c>
      <c r="R15" s="8">
        <f t="shared" si="36"/>
        <v>0.1222729399</v>
      </c>
      <c r="S15" s="8">
        <f t="shared" si="8"/>
        <v>0.2912236495</v>
      </c>
      <c r="T15" s="8">
        <f t="shared" si="9"/>
        <v>0.2530895012</v>
      </c>
      <c r="U15" s="8">
        <f t="shared" si="10"/>
        <v>0.1675612765</v>
      </c>
      <c r="V15" s="8">
        <f t="shared" ref="V15:W15" si="37">I15/N15</f>
        <v>0.1658526329</v>
      </c>
      <c r="W15" s="8">
        <f t="shared" si="37"/>
        <v>0.4952584237</v>
      </c>
      <c r="X15" s="8">
        <f t="shared" si="12"/>
        <v>0.4410359212</v>
      </c>
      <c r="Y15" s="8">
        <f t="shared" si="13"/>
        <v>0.06370565513</v>
      </c>
    </row>
    <row r="16">
      <c r="A16" s="4" t="s">
        <v>39</v>
      </c>
      <c r="B16" s="5">
        <v>1298746.0</v>
      </c>
      <c r="C16" s="5">
        <v>561114.0</v>
      </c>
      <c r="D16" s="5">
        <v>658136.0</v>
      </c>
      <c r="E16" s="5">
        <v>99830.0</v>
      </c>
      <c r="F16" s="5">
        <v>327342.0</v>
      </c>
      <c r="G16" s="5">
        <v>284507.0</v>
      </c>
      <c r="H16" s="5">
        <v>188232.0</v>
      </c>
      <c r="I16" s="5">
        <v>193746.0</v>
      </c>
      <c r="J16" s="5">
        <v>235082.0</v>
      </c>
      <c r="K16" s="5">
        <v>207508.0</v>
      </c>
      <c r="L16" s="5">
        <v>30125.0</v>
      </c>
      <c r="M16" s="6">
        <f t="shared" si="3"/>
        <v>1219250</v>
      </c>
      <c r="N16" s="6">
        <f t="shared" si="4"/>
        <v>1093657</v>
      </c>
      <c r="O16" s="7">
        <f t="shared" si="5"/>
        <v>472715</v>
      </c>
      <c r="P16" s="8">
        <f t="shared" si="6"/>
        <v>0.4602124257</v>
      </c>
      <c r="Q16" s="8">
        <f t="shared" ref="Q16:R16" si="38">D16/M16</f>
        <v>0.5397875743</v>
      </c>
      <c r="R16" s="8">
        <f t="shared" si="38"/>
        <v>0.09128090434</v>
      </c>
      <c r="S16" s="8">
        <f t="shared" si="8"/>
        <v>0.2993095642</v>
      </c>
      <c r="T16" s="8">
        <f t="shared" si="9"/>
        <v>0.2601428053</v>
      </c>
      <c r="U16" s="8">
        <f t="shared" si="10"/>
        <v>0.172112463</v>
      </c>
      <c r="V16" s="8">
        <f t="shared" ref="V16:W16" si="39">I16/N16</f>
        <v>0.1771542632</v>
      </c>
      <c r="W16" s="8">
        <f t="shared" si="39"/>
        <v>0.4973017569</v>
      </c>
      <c r="X16" s="8">
        <f t="shared" si="12"/>
        <v>0.4389706271</v>
      </c>
      <c r="Y16" s="8">
        <f t="shared" si="13"/>
        <v>0.06372761601</v>
      </c>
    </row>
    <row r="17">
      <c r="A17" s="4" t="s">
        <v>40</v>
      </c>
      <c r="B17" s="5">
        <v>6803.0</v>
      </c>
      <c r="C17" s="5">
        <v>1949.0</v>
      </c>
      <c r="D17" s="5">
        <v>4729.0</v>
      </c>
      <c r="E17" s="5">
        <v>362.0</v>
      </c>
      <c r="F17" s="5">
        <v>1022.0</v>
      </c>
      <c r="G17" s="5">
        <v>1203.0</v>
      </c>
      <c r="H17" s="5">
        <v>1088.0</v>
      </c>
      <c r="I17" s="5">
        <v>1081.0</v>
      </c>
      <c r="J17" s="5">
        <v>1151.0</v>
      </c>
      <c r="K17" s="5">
        <v>596.0</v>
      </c>
      <c r="L17" s="5">
        <v>48.0</v>
      </c>
      <c r="M17" s="6">
        <f t="shared" si="3"/>
        <v>6678</v>
      </c>
      <c r="N17" s="6">
        <f t="shared" si="4"/>
        <v>4756</v>
      </c>
      <c r="O17" s="7">
        <f t="shared" si="5"/>
        <v>1795</v>
      </c>
      <c r="P17" s="8">
        <f t="shared" si="6"/>
        <v>0.2918538485</v>
      </c>
      <c r="Q17" s="8">
        <f t="shared" ref="Q17:R17" si="40">D17/M17</f>
        <v>0.7081461515</v>
      </c>
      <c r="R17" s="8">
        <f t="shared" si="40"/>
        <v>0.07611438183</v>
      </c>
      <c r="S17" s="8">
        <f t="shared" si="8"/>
        <v>0.2148864592</v>
      </c>
      <c r="T17" s="8">
        <f t="shared" si="9"/>
        <v>0.2529436501</v>
      </c>
      <c r="U17" s="8">
        <f t="shared" si="10"/>
        <v>0.2287636669</v>
      </c>
      <c r="V17" s="8">
        <f t="shared" ref="V17:W17" si="41">I17/N17</f>
        <v>0.2272918419</v>
      </c>
      <c r="W17" s="8">
        <f t="shared" si="41"/>
        <v>0.6412256267</v>
      </c>
      <c r="X17" s="8">
        <f t="shared" si="12"/>
        <v>0.3320334262</v>
      </c>
      <c r="Y17" s="8">
        <f t="shared" si="13"/>
        <v>0.02674094708</v>
      </c>
    </row>
    <row r="18">
      <c r="A18" s="4" t="s">
        <v>41</v>
      </c>
      <c r="B18" s="5">
        <v>7661815.0</v>
      </c>
      <c r="C18" s="5">
        <v>3119179.0</v>
      </c>
      <c r="D18" s="5">
        <v>3488925.0</v>
      </c>
      <c r="E18" s="5">
        <v>655048.0</v>
      </c>
      <c r="F18" s="5">
        <v>1517693.0</v>
      </c>
      <c r="G18" s="5">
        <v>1366234.0</v>
      </c>
      <c r="H18" s="5">
        <v>979066.0</v>
      </c>
      <c r="I18" s="5">
        <v>1109077.0</v>
      </c>
      <c r="J18" s="5">
        <v>1190787.0</v>
      </c>
      <c r="K18" s="5">
        <v>1000516.0</v>
      </c>
      <c r="L18" s="5">
        <v>143502.0</v>
      </c>
      <c r="M18" s="6">
        <f t="shared" si="3"/>
        <v>6608104</v>
      </c>
      <c r="N18" s="6">
        <f t="shared" si="4"/>
        <v>5627118</v>
      </c>
      <c r="O18" s="7">
        <f t="shared" si="5"/>
        <v>2334805</v>
      </c>
      <c r="P18" s="8">
        <f t="shared" si="6"/>
        <v>0.4720232914</v>
      </c>
      <c r="Q18" s="8">
        <f t="shared" ref="Q18:R18" si="42">D18/M18</f>
        <v>0.5279767086</v>
      </c>
      <c r="R18" s="8">
        <f t="shared" si="42"/>
        <v>0.1164091459</v>
      </c>
      <c r="S18" s="8">
        <f t="shared" si="8"/>
        <v>0.2697105339</v>
      </c>
      <c r="T18" s="8">
        <f t="shared" si="9"/>
        <v>0.2427946242</v>
      </c>
      <c r="U18" s="8">
        <f t="shared" si="10"/>
        <v>0.1739906645</v>
      </c>
      <c r="V18" s="8">
        <f t="shared" ref="V18:W18" si="43">I18/N18</f>
        <v>0.1970950316</v>
      </c>
      <c r="W18" s="8">
        <f t="shared" si="43"/>
        <v>0.5100156116</v>
      </c>
      <c r="X18" s="8">
        <f t="shared" si="12"/>
        <v>0.4285222963</v>
      </c>
      <c r="Y18" s="8">
        <f t="shared" si="13"/>
        <v>0.06146209212</v>
      </c>
    </row>
    <row r="19">
      <c r="A19" s="4" t="s">
        <v>42</v>
      </c>
      <c r="B19" s="5">
        <v>182789.0</v>
      </c>
      <c r="C19" s="5">
        <v>64407.0</v>
      </c>
      <c r="D19" s="5">
        <v>111958.0</v>
      </c>
      <c r="E19" s="5">
        <v>13338.0</v>
      </c>
      <c r="F19" s="5">
        <v>52843.0</v>
      </c>
      <c r="G19" s="5">
        <v>44674.0</v>
      </c>
      <c r="H19" s="5">
        <v>22103.0</v>
      </c>
      <c r="I19" s="5">
        <v>16552.0</v>
      </c>
      <c r="J19" s="5">
        <v>38217.0</v>
      </c>
      <c r="K19" s="5">
        <v>25829.0</v>
      </c>
      <c r="L19" s="5">
        <v>2268.0</v>
      </c>
      <c r="M19" s="6">
        <f t="shared" si="3"/>
        <v>176365</v>
      </c>
      <c r="N19" s="6">
        <f t="shared" si="4"/>
        <v>149510</v>
      </c>
      <c r="O19" s="7">
        <f t="shared" si="5"/>
        <v>66314</v>
      </c>
      <c r="P19" s="8">
        <f t="shared" si="6"/>
        <v>0.3651915063</v>
      </c>
      <c r="Q19" s="8">
        <f t="shared" ref="Q19:R19" si="44">D19/M19</f>
        <v>0.6348084937</v>
      </c>
      <c r="R19" s="8">
        <f t="shared" si="44"/>
        <v>0.08921142399</v>
      </c>
      <c r="S19" s="8">
        <f t="shared" si="8"/>
        <v>0.3534412414</v>
      </c>
      <c r="T19" s="8">
        <f t="shared" si="9"/>
        <v>0.2988027557</v>
      </c>
      <c r="U19" s="8">
        <f t="shared" si="10"/>
        <v>0.1478362651</v>
      </c>
      <c r="V19" s="8">
        <f t="shared" ref="V19:W19" si="45">I19/N19</f>
        <v>0.1107083138</v>
      </c>
      <c r="W19" s="8">
        <f t="shared" si="45"/>
        <v>0.5763036463</v>
      </c>
      <c r="X19" s="8">
        <f t="shared" si="12"/>
        <v>0.3894954308</v>
      </c>
      <c r="Y19" s="8">
        <f t="shared" si="13"/>
        <v>0.03420092288</v>
      </c>
    </row>
    <row r="20">
      <c r="A20" s="4" t="s">
        <v>43</v>
      </c>
      <c r="B20" s="5">
        <v>1074241.0</v>
      </c>
      <c r="C20" s="5">
        <v>452606.0</v>
      </c>
      <c r="D20" s="5">
        <v>515705.0</v>
      </c>
      <c r="E20" s="5">
        <v>112021.0</v>
      </c>
      <c r="F20" s="5">
        <v>259595.0</v>
      </c>
      <c r="G20" s="5">
        <v>222024.0</v>
      </c>
      <c r="H20" s="5">
        <v>137608.0</v>
      </c>
      <c r="I20" s="5">
        <v>135125.0</v>
      </c>
      <c r="J20" s="5">
        <v>171673.0</v>
      </c>
      <c r="K20" s="5">
        <v>140334.0</v>
      </c>
      <c r="L20" s="5">
        <v>19254.0</v>
      </c>
      <c r="M20" s="6">
        <f t="shared" si="3"/>
        <v>968311</v>
      </c>
      <c r="N20" s="6">
        <f t="shared" si="4"/>
        <v>866373</v>
      </c>
      <c r="O20" s="7">
        <f t="shared" si="5"/>
        <v>331261</v>
      </c>
      <c r="P20" s="8">
        <f t="shared" si="6"/>
        <v>0.4674180093</v>
      </c>
      <c r="Q20" s="8">
        <f t="shared" ref="Q20:R20" si="46">D20/M20</f>
        <v>0.5325819907</v>
      </c>
      <c r="R20" s="8">
        <f t="shared" si="46"/>
        <v>0.1292988124</v>
      </c>
      <c r="S20" s="8">
        <f t="shared" si="8"/>
        <v>0.2996342222</v>
      </c>
      <c r="T20" s="8">
        <f t="shared" si="9"/>
        <v>0.256268374</v>
      </c>
      <c r="U20" s="8">
        <f t="shared" si="10"/>
        <v>0.1588322812</v>
      </c>
      <c r="V20" s="8">
        <f t="shared" ref="V20:W20" si="47">I20/N20</f>
        <v>0.1559663101</v>
      </c>
      <c r="W20" s="8">
        <f t="shared" si="47"/>
        <v>0.5182409037</v>
      </c>
      <c r="X20" s="8">
        <f t="shared" si="12"/>
        <v>0.4236357434</v>
      </c>
      <c r="Y20" s="8">
        <f t="shared" si="13"/>
        <v>0.05812335288</v>
      </c>
    </row>
    <row r="21">
      <c r="A21" s="4" t="s">
        <v>44</v>
      </c>
      <c r="B21" s="5">
        <v>9258.0</v>
      </c>
      <c r="C21" s="5">
        <v>4722.0</v>
      </c>
      <c r="D21" s="5">
        <v>4377.0</v>
      </c>
      <c r="E21" s="5">
        <v>422.0</v>
      </c>
      <c r="F21" s="5">
        <v>1734.0</v>
      </c>
      <c r="G21" s="5">
        <v>1940.0</v>
      </c>
      <c r="H21" s="5">
        <v>1528.0</v>
      </c>
      <c r="I21" s="5">
        <v>1610.0</v>
      </c>
      <c r="J21" s="5">
        <v>1961.0</v>
      </c>
      <c r="K21" s="5">
        <v>1324.0</v>
      </c>
      <c r="L21" s="5">
        <v>166.0</v>
      </c>
      <c r="M21" s="6">
        <f t="shared" si="3"/>
        <v>9099</v>
      </c>
      <c r="N21" s="6">
        <f t="shared" si="4"/>
        <v>7234</v>
      </c>
      <c r="O21" s="7">
        <f t="shared" si="5"/>
        <v>3451</v>
      </c>
      <c r="P21" s="8">
        <f t="shared" si="6"/>
        <v>0.5189581273</v>
      </c>
      <c r="Q21" s="8">
        <f t="shared" ref="Q21:R21" si="48">D21/M21</f>
        <v>0.4810418727</v>
      </c>
      <c r="R21" s="8">
        <f t="shared" si="48"/>
        <v>0.05833563727</v>
      </c>
      <c r="S21" s="8">
        <f t="shared" si="8"/>
        <v>0.23970141</v>
      </c>
      <c r="T21" s="8">
        <f t="shared" si="9"/>
        <v>0.2681780481</v>
      </c>
      <c r="U21" s="8">
        <f t="shared" si="10"/>
        <v>0.2112247719</v>
      </c>
      <c r="V21" s="8">
        <f t="shared" ref="V21:W21" si="49">I21/N21</f>
        <v>0.2225601327</v>
      </c>
      <c r="W21" s="8">
        <f t="shared" si="49"/>
        <v>0.5682410895</v>
      </c>
      <c r="X21" s="8">
        <f t="shared" si="12"/>
        <v>0.383656911</v>
      </c>
      <c r="Y21" s="8">
        <f t="shared" si="13"/>
        <v>0.04810199942</v>
      </c>
    </row>
    <row r="22">
      <c r="A22" s="4" t="s">
        <v>45</v>
      </c>
      <c r="B22" s="5">
        <v>1045839.0</v>
      </c>
      <c r="C22" s="5">
        <v>458304.0</v>
      </c>
      <c r="D22" s="5">
        <v>561520.0</v>
      </c>
      <c r="E22" s="5">
        <v>50563.0</v>
      </c>
      <c r="F22" s="5">
        <v>174981.0</v>
      </c>
      <c r="G22" s="5">
        <v>200784.0</v>
      </c>
      <c r="H22" s="5">
        <v>153196.0</v>
      </c>
      <c r="I22" s="5">
        <v>168071.0</v>
      </c>
      <c r="J22" s="5">
        <v>205853.0</v>
      </c>
      <c r="K22" s="5">
        <v>129497.0</v>
      </c>
      <c r="L22" s="5">
        <v>13827.0</v>
      </c>
      <c r="M22" s="6">
        <f t="shared" si="3"/>
        <v>1019824</v>
      </c>
      <c r="N22" s="6">
        <f t="shared" si="4"/>
        <v>747595</v>
      </c>
      <c r="O22" s="7">
        <f t="shared" si="5"/>
        <v>349177</v>
      </c>
      <c r="P22" s="8">
        <f t="shared" si="6"/>
        <v>0.4493951898</v>
      </c>
      <c r="Q22" s="8">
        <f t="shared" ref="Q22:R22" si="50">D22/M22</f>
        <v>0.5506048102</v>
      </c>
      <c r="R22" s="8">
        <f t="shared" si="50"/>
        <v>0.06763421371</v>
      </c>
      <c r="S22" s="8">
        <f t="shared" si="8"/>
        <v>0.2340585477</v>
      </c>
      <c r="T22" s="8">
        <f t="shared" si="9"/>
        <v>0.2685732248</v>
      </c>
      <c r="U22" s="8">
        <f t="shared" si="10"/>
        <v>0.2049184385</v>
      </c>
      <c r="V22" s="8">
        <f t="shared" ref="V22:W22" si="51">I22/N22</f>
        <v>0.2248155753</v>
      </c>
      <c r="W22" s="8">
        <f t="shared" si="51"/>
        <v>0.5895376843</v>
      </c>
      <c r="X22" s="8">
        <f t="shared" si="12"/>
        <v>0.3708634876</v>
      </c>
      <c r="Y22" s="8">
        <f t="shared" si="13"/>
        <v>0.0395988281</v>
      </c>
    </row>
    <row r="23">
      <c r="A23" s="4" t="s">
        <v>46</v>
      </c>
      <c r="B23" s="5">
        <v>6823194.0</v>
      </c>
      <c r="C23" s="5">
        <v>2750851.0</v>
      </c>
      <c r="D23" s="5">
        <v>3204814.0</v>
      </c>
      <c r="E23" s="5">
        <v>548945.0</v>
      </c>
      <c r="F23" s="5">
        <v>1344391.0</v>
      </c>
      <c r="G23" s="5">
        <v>1264289.0</v>
      </c>
      <c r="H23" s="5">
        <v>906432.0</v>
      </c>
      <c r="I23" s="5">
        <v>1008736.0</v>
      </c>
      <c r="J23" s="5">
        <v>1105107.0</v>
      </c>
      <c r="K23" s="5">
        <v>878975.0</v>
      </c>
      <c r="L23" s="5">
        <v>115523.0</v>
      </c>
      <c r="M23" s="6">
        <f t="shared" si="3"/>
        <v>5955665</v>
      </c>
      <c r="N23" s="6">
        <f t="shared" si="4"/>
        <v>5072793</v>
      </c>
      <c r="O23" s="7">
        <f t="shared" si="5"/>
        <v>2099605</v>
      </c>
      <c r="P23" s="8">
        <f t="shared" si="6"/>
        <v>0.4618881351</v>
      </c>
      <c r="Q23" s="8">
        <f t="shared" ref="Q23:R23" si="52">D23/M23</f>
        <v>0.5381118649</v>
      </c>
      <c r="R23" s="8">
        <f t="shared" si="52"/>
        <v>0.108213562</v>
      </c>
      <c r="S23" s="8">
        <f t="shared" si="8"/>
        <v>0.2650198816</v>
      </c>
      <c r="T23" s="8">
        <f t="shared" si="9"/>
        <v>0.2492293693</v>
      </c>
      <c r="U23" s="8">
        <f t="shared" si="10"/>
        <v>0.1786849966</v>
      </c>
      <c r="V23" s="8">
        <f t="shared" ref="V23:W23" si="53">I23/N23</f>
        <v>0.1988521905</v>
      </c>
      <c r="W23" s="8">
        <f t="shared" si="53"/>
        <v>0.5263404307</v>
      </c>
      <c r="X23" s="8">
        <f t="shared" si="12"/>
        <v>0.4186382677</v>
      </c>
      <c r="Y23" s="8">
        <f t="shared" si="13"/>
        <v>0.05502130163</v>
      </c>
    </row>
    <row r="24">
      <c r="A24" s="4" t="s">
        <v>47</v>
      </c>
      <c r="B24" s="5">
        <v>3177431.0</v>
      </c>
      <c r="C24" s="5">
        <v>1626034.0</v>
      </c>
      <c r="D24" s="5">
        <v>1470808.0</v>
      </c>
      <c r="E24" s="5">
        <v>229798.0</v>
      </c>
      <c r="F24" s="5">
        <v>657064.0</v>
      </c>
      <c r="G24" s="5">
        <v>615639.0</v>
      </c>
      <c r="H24" s="5">
        <v>426796.0</v>
      </c>
      <c r="I24" s="5">
        <v>432902.0</v>
      </c>
      <c r="J24" s="5">
        <v>606899.0</v>
      </c>
      <c r="K24" s="5">
        <v>439497.0</v>
      </c>
      <c r="L24" s="5">
        <v>53805.0</v>
      </c>
      <c r="M24" s="6">
        <f t="shared" si="3"/>
        <v>3096842</v>
      </c>
      <c r="N24" s="6">
        <f t="shared" si="4"/>
        <v>2362199</v>
      </c>
      <c r="O24" s="7">
        <f t="shared" si="5"/>
        <v>1100201</v>
      </c>
      <c r="P24" s="8">
        <f t="shared" si="6"/>
        <v>0.5250619825</v>
      </c>
      <c r="Q24" s="8">
        <f t="shared" ref="Q24:R24" si="54">D24/M24</f>
        <v>0.4749380175</v>
      </c>
      <c r="R24" s="8">
        <f t="shared" si="54"/>
        <v>0.09728138908</v>
      </c>
      <c r="S24" s="8">
        <f t="shared" si="8"/>
        <v>0.2781577674</v>
      </c>
      <c r="T24" s="8">
        <f t="shared" si="9"/>
        <v>0.2606211416</v>
      </c>
      <c r="U24" s="8">
        <f t="shared" si="10"/>
        <v>0.1806774112</v>
      </c>
      <c r="V24" s="8">
        <f t="shared" ref="V24:W24" si="55">I24/N24</f>
        <v>0.1832622908</v>
      </c>
      <c r="W24" s="8">
        <f t="shared" si="55"/>
        <v>0.5516255666</v>
      </c>
      <c r="X24" s="8">
        <f t="shared" si="12"/>
        <v>0.3994697333</v>
      </c>
      <c r="Y24" s="8">
        <f t="shared" si="13"/>
        <v>0.04890470014</v>
      </c>
    </row>
    <row r="25">
      <c r="A25" s="4" t="s">
        <v>48</v>
      </c>
      <c r="B25" s="5">
        <v>956917.0</v>
      </c>
      <c r="C25" s="5">
        <v>419545.0</v>
      </c>
      <c r="D25" s="5">
        <v>512831.0</v>
      </c>
      <c r="E25" s="5">
        <v>46249.0</v>
      </c>
      <c r="F25" s="5">
        <v>154551.0</v>
      </c>
      <c r="G25" s="5">
        <v>178393.0</v>
      </c>
      <c r="H25" s="5">
        <v>139190.0</v>
      </c>
      <c r="I25" s="5">
        <v>155681.0</v>
      </c>
      <c r="J25" s="5">
        <v>186288.0</v>
      </c>
      <c r="K25" s="5">
        <v>114397.0</v>
      </c>
      <c r="L25" s="5">
        <v>12038.0</v>
      </c>
      <c r="M25" s="6">
        <f t="shared" si="3"/>
        <v>932376</v>
      </c>
      <c r="N25" s="6">
        <f t="shared" si="4"/>
        <v>674064</v>
      </c>
      <c r="O25" s="7">
        <f t="shared" si="5"/>
        <v>312723</v>
      </c>
      <c r="P25" s="8">
        <f t="shared" si="6"/>
        <v>0.4499740448</v>
      </c>
      <c r="Q25" s="8">
        <f t="shared" ref="Q25:R25" si="56">D25/M25</f>
        <v>0.5500259552</v>
      </c>
      <c r="R25" s="8">
        <f t="shared" si="56"/>
        <v>0.06861217926</v>
      </c>
      <c r="S25" s="8">
        <f t="shared" si="8"/>
        <v>0.2292823827</v>
      </c>
      <c r="T25" s="8">
        <f t="shared" si="9"/>
        <v>0.2646529113</v>
      </c>
      <c r="U25" s="8">
        <f t="shared" si="10"/>
        <v>0.2064937454</v>
      </c>
      <c r="V25" s="8">
        <f t="shared" ref="V25:W25" si="57">I25/N25</f>
        <v>0.2309587814</v>
      </c>
      <c r="W25" s="8">
        <f t="shared" si="57"/>
        <v>0.595696511</v>
      </c>
      <c r="X25" s="8">
        <f t="shared" si="12"/>
        <v>0.3658093584</v>
      </c>
      <c r="Y25" s="8">
        <f t="shared" si="13"/>
        <v>0.03849413059</v>
      </c>
    </row>
    <row r="26">
      <c r="A26" s="4" t="s">
        <v>49</v>
      </c>
      <c r="B26" s="5">
        <v>793851.0</v>
      </c>
      <c r="C26" s="5">
        <v>371092.0</v>
      </c>
      <c r="D26" s="5">
        <v>378067.0</v>
      </c>
      <c r="E26" s="5">
        <v>51086.0</v>
      </c>
      <c r="F26" s="5">
        <v>208076.0</v>
      </c>
      <c r="G26" s="5">
        <v>198401.0</v>
      </c>
      <c r="H26" s="5">
        <v>115696.0</v>
      </c>
      <c r="I26" s="5">
        <v>112076.0</v>
      </c>
      <c r="J26" s="5">
        <v>153631.0</v>
      </c>
      <c r="K26" s="5">
        <v>146328.0</v>
      </c>
      <c r="L26" s="5">
        <v>20637.0</v>
      </c>
      <c r="M26" s="6">
        <f t="shared" si="3"/>
        <v>749159</v>
      </c>
      <c r="N26" s="6">
        <f t="shared" si="4"/>
        <v>685335</v>
      </c>
      <c r="O26" s="7">
        <f t="shared" si="5"/>
        <v>320596</v>
      </c>
      <c r="P26" s="8">
        <f t="shared" si="6"/>
        <v>0.4953447799</v>
      </c>
      <c r="Q26" s="8">
        <f t="shared" ref="Q26:R26" si="58">D26/M26</f>
        <v>0.5046552201</v>
      </c>
      <c r="R26" s="8">
        <f t="shared" si="58"/>
        <v>0.07454164752</v>
      </c>
      <c r="S26" s="8">
        <f t="shared" si="8"/>
        <v>0.3036121021</v>
      </c>
      <c r="T26" s="8">
        <f t="shared" si="9"/>
        <v>0.2894949185</v>
      </c>
      <c r="U26" s="8">
        <f t="shared" si="10"/>
        <v>0.1688167101</v>
      </c>
      <c r="V26" s="8">
        <f t="shared" ref="V26:W26" si="59">I26/N26</f>
        <v>0.1635346218</v>
      </c>
      <c r="W26" s="8">
        <f t="shared" si="59"/>
        <v>0.4792043569</v>
      </c>
      <c r="X26" s="8">
        <f t="shared" si="12"/>
        <v>0.4564249086</v>
      </c>
      <c r="Y26" s="8">
        <f t="shared" si="13"/>
        <v>0.06437073451</v>
      </c>
    </row>
    <row r="27">
      <c r="A27" s="4" t="s">
        <v>50</v>
      </c>
      <c r="B27" s="5">
        <v>1486353.0</v>
      </c>
      <c r="C27" s="5">
        <v>705588.0</v>
      </c>
      <c r="D27" s="5">
        <v>630064.0</v>
      </c>
      <c r="E27" s="5">
        <v>191250.0</v>
      </c>
      <c r="F27" s="5">
        <v>359933.0</v>
      </c>
      <c r="G27" s="5">
        <v>258674.0</v>
      </c>
      <c r="H27" s="5">
        <v>180772.0</v>
      </c>
      <c r="I27" s="5">
        <v>193756.0</v>
      </c>
      <c r="J27" s="5">
        <v>219293.0</v>
      </c>
      <c r="K27" s="5">
        <v>203957.0</v>
      </c>
      <c r="L27" s="5">
        <v>30928.0</v>
      </c>
      <c r="M27" s="6">
        <f t="shared" si="3"/>
        <v>1335652</v>
      </c>
      <c r="N27" s="6">
        <f t="shared" si="4"/>
        <v>1184385</v>
      </c>
      <c r="O27" s="7">
        <f t="shared" si="5"/>
        <v>454178</v>
      </c>
      <c r="P27" s="8">
        <f t="shared" si="6"/>
        <v>0.5282723344</v>
      </c>
      <c r="Q27" s="8">
        <f t="shared" ref="Q27:R27" si="60">D27/M27</f>
        <v>0.4717276656</v>
      </c>
      <c r="R27" s="8">
        <f t="shared" si="60"/>
        <v>0.1614762092</v>
      </c>
      <c r="S27" s="8">
        <f t="shared" si="8"/>
        <v>0.3038986478</v>
      </c>
      <c r="T27" s="8">
        <f t="shared" si="9"/>
        <v>0.2184036441</v>
      </c>
      <c r="U27" s="8">
        <f t="shared" si="10"/>
        <v>0.1526294237</v>
      </c>
      <c r="V27" s="8">
        <f t="shared" ref="V27:W27" si="61">I27/N27</f>
        <v>0.1635920752</v>
      </c>
      <c r="W27" s="8">
        <f t="shared" si="61"/>
        <v>0.4828349238</v>
      </c>
      <c r="X27" s="8">
        <f t="shared" si="12"/>
        <v>0.4490684269</v>
      </c>
      <c r="Y27" s="8">
        <f t="shared" si="13"/>
        <v>0.06809664933</v>
      </c>
    </row>
    <row r="28">
      <c r="A28" s="4" t="s">
        <v>51</v>
      </c>
      <c r="B28" s="5">
        <v>1265058.0</v>
      </c>
      <c r="C28" s="5">
        <v>562149.0</v>
      </c>
      <c r="D28" s="5">
        <v>679179.0</v>
      </c>
      <c r="E28" s="5">
        <v>80910.0</v>
      </c>
      <c r="F28" s="5">
        <v>297637.0</v>
      </c>
      <c r="G28" s="5">
        <v>288391.0</v>
      </c>
      <c r="H28" s="5">
        <v>191554.0</v>
      </c>
      <c r="I28" s="5">
        <v>182747.0</v>
      </c>
      <c r="J28" s="5">
        <v>282810.0</v>
      </c>
      <c r="K28" s="5">
        <v>190544.0</v>
      </c>
      <c r="L28" s="5">
        <v>19195.0</v>
      </c>
      <c r="M28" s="6">
        <f t="shared" si="3"/>
        <v>1241328</v>
      </c>
      <c r="N28" s="6">
        <f t="shared" si="4"/>
        <v>1041239</v>
      </c>
      <c r="O28" s="7">
        <f t="shared" si="5"/>
        <v>492549</v>
      </c>
      <c r="P28" s="8">
        <f t="shared" si="6"/>
        <v>0.4528609683</v>
      </c>
      <c r="Q28" s="8">
        <f t="shared" ref="Q28:R28" si="62">D28/M28</f>
        <v>0.5471390317</v>
      </c>
      <c r="R28" s="8">
        <f t="shared" si="62"/>
        <v>0.07770550277</v>
      </c>
      <c r="S28" s="8">
        <f t="shared" si="8"/>
        <v>0.2858488781</v>
      </c>
      <c r="T28" s="8">
        <f t="shared" si="9"/>
        <v>0.2769690724</v>
      </c>
      <c r="U28" s="8">
        <f t="shared" si="10"/>
        <v>0.1839673696</v>
      </c>
      <c r="V28" s="8">
        <f t="shared" ref="V28:W28" si="63">I28/N28</f>
        <v>0.175509177</v>
      </c>
      <c r="W28" s="8">
        <f t="shared" si="63"/>
        <v>0.5741763764</v>
      </c>
      <c r="X28" s="8">
        <f t="shared" si="12"/>
        <v>0.3868528816</v>
      </c>
      <c r="Y28" s="8">
        <f t="shared" si="13"/>
        <v>0.038970742</v>
      </c>
    </row>
    <row r="29">
      <c r="A29" s="4" t="s">
        <v>52</v>
      </c>
      <c r="B29" s="5">
        <v>4178652.0</v>
      </c>
      <c r="C29" s="5">
        <v>1557320.0</v>
      </c>
      <c r="D29" s="5">
        <v>2100125.0</v>
      </c>
      <c r="E29" s="5">
        <v>296383.0</v>
      </c>
      <c r="F29" s="5">
        <v>802575.0</v>
      </c>
      <c r="G29" s="5">
        <v>781661.0</v>
      </c>
      <c r="H29" s="5">
        <v>568239.0</v>
      </c>
      <c r="I29" s="5">
        <v>661982.0</v>
      </c>
      <c r="J29" s="5">
        <v>687608.0</v>
      </c>
      <c r="K29" s="5">
        <v>567626.0</v>
      </c>
      <c r="L29" s="5">
        <v>74338.0</v>
      </c>
      <c r="M29" s="6">
        <f t="shared" si="3"/>
        <v>3657445</v>
      </c>
      <c r="N29" s="6">
        <f t="shared" si="4"/>
        <v>3110840</v>
      </c>
      <c r="O29" s="7">
        <f t="shared" si="5"/>
        <v>1329572</v>
      </c>
      <c r="P29" s="8">
        <f t="shared" si="6"/>
        <v>0.4257945096</v>
      </c>
      <c r="Q29" s="8">
        <f t="shared" ref="Q29:R29" si="64">D29/M29</f>
        <v>0.5742054904</v>
      </c>
      <c r="R29" s="8">
        <f t="shared" si="64"/>
        <v>0.09527426676</v>
      </c>
      <c r="S29" s="8">
        <f t="shared" si="8"/>
        <v>0.257993018</v>
      </c>
      <c r="T29" s="8">
        <f t="shared" si="9"/>
        <v>0.251270075</v>
      </c>
      <c r="U29" s="8">
        <f t="shared" si="10"/>
        <v>0.1826641679</v>
      </c>
      <c r="V29" s="8">
        <f t="shared" ref="V29:W29" si="65">I29/N29</f>
        <v>0.2127984724</v>
      </c>
      <c r="W29" s="8">
        <f t="shared" si="65"/>
        <v>0.5171649222</v>
      </c>
      <c r="X29" s="8">
        <f t="shared" si="12"/>
        <v>0.4269238522</v>
      </c>
      <c r="Y29" s="8">
        <f t="shared" si="13"/>
        <v>0.05591122557</v>
      </c>
    </row>
    <row r="30">
      <c r="A30" s="4" t="s">
        <v>53</v>
      </c>
      <c r="B30" s="5">
        <v>2366063.0</v>
      </c>
      <c r="C30" s="5">
        <v>1029739.0</v>
      </c>
      <c r="D30" s="5">
        <v>1034590.0</v>
      </c>
      <c r="E30" s="5">
        <v>228616.0</v>
      </c>
      <c r="F30" s="5">
        <v>482079.0</v>
      </c>
      <c r="G30" s="5">
        <v>433524.0</v>
      </c>
      <c r="H30" s="5">
        <v>294452.0</v>
      </c>
      <c r="I30" s="5">
        <v>278282.0</v>
      </c>
      <c r="J30" s="5">
        <v>359898.0</v>
      </c>
      <c r="K30" s="5">
        <v>305157.0</v>
      </c>
      <c r="L30" s="5">
        <v>40691.0</v>
      </c>
      <c r="M30" s="6">
        <f t="shared" si="3"/>
        <v>2064329</v>
      </c>
      <c r="N30" s="6">
        <f t="shared" si="4"/>
        <v>1716953</v>
      </c>
      <c r="O30" s="7">
        <f t="shared" si="5"/>
        <v>705746</v>
      </c>
      <c r="P30" s="8">
        <f t="shared" si="6"/>
        <v>0.4988250419</v>
      </c>
      <c r="Q30" s="8">
        <f t="shared" ref="Q30:R30" si="66">D30/M30</f>
        <v>0.5011749581</v>
      </c>
      <c r="R30" s="8">
        <f t="shared" si="66"/>
        <v>0.1331521597</v>
      </c>
      <c r="S30" s="8">
        <f t="shared" si="8"/>
        <v>0.2807758861</v>
      </c>
      <c r="T30" s="8">
        <f t="shared" si="9"/>
        <v>0.2524961371</v>
      </c>
      <c r="U30" s="8">
        <f t="shared" si="10"/>
        <v>0.1714968319</v>
      </c>
      <c r="V30" s="8">
        <f t="shared" ref="V30:W30" si="67">I30/N30</f>
        <v>0.1620789853</v>
      </c>
      <c r="W30" s="8">
        <f t="shared" si="67"/>
        <v>0.5099540061</v>
      </c>
      <c r="X30" s="8">
        <f t="shared" si="12"/>
        <v>0.4323892732</v>
      </c>
      <c r="Y30" s="8">
        <f t="shared" si="13"/>
        <v>0.05765672069</v>
      </c>
    </row>
    <row r="31">
      <c r="A31" s="4" t="s">
        <v>54</v>
      </c>
      <c r="B31" s="5">
        <v>5627632.0</v>
      </c>
      <c r="C31" s="5">
        <v>2196220.0</v>
      </c>
      <c r="D31" s="5">
        <v>2709782.0</v>
      </c>
      <c r="E31" s="5">
        <v>502503.0</v>
      </c>
      <c r="F31" s="5">
        <v>1122810.0</v>
      </c>
      <c r="G31" s="5">
        <v>1010277.0</v>
      </c>
      <c r="H31" s="5">
        <v>708852.0</v>
      </c>
      <c r="I31" s="5">
        <v>739674.0</v>
      </c>
      <c r="J31" s="5">
        <v>848138.0</v>
      </c>
      <c r="K31" s="5">
        <v>707620.0</v>
      </c>
      <c r="L31" s="5">
        <v>108196.0</v>
      </c>
      <c r="M31" s="6">
        <f t="shared" si="3"/>
        <v>4906002</v>
      </c>
      <c r="N31" s="6">
        <f t="shared" si="4"/>
        <v>4084116</v>
      </c>
      <c r="O31" s="7">
        <f t="shared" si="5"/>
        <v>1663954</v>
      </c>
      <c r="P31" s="8">
        <f t="shared" si="6"/>
        <v>0.4476598257</v>
      </c>
      <c r="Q31" s="8">
        <f t="shared" ref="Q31:R31" si="68">D31/M31</f>
        <v>0.5523401743</v>
      </c>
      <c r="R31" s="8">
        <f t="shared" si="68"/>
        <v>0.123038376</v>
      </c>
      <c r="S31" s="8">
        <f t="shared" si="8"/>
        <v>0.2749211825</v>
      </c>
      <c r="T31" s="8">
        <f t="shared" si="9"/>
        <v>0.2473673617</v>
      </c>
      <c r="U31" s="8">
        <f t="shared" si="10"/>
        <v>0.1735631407</v>
      </c>
      <c r="V31" s="8">
        <f t="shared" ref="V31:W31" si="69">I31/N31</f>
        <v>0.1811099391</v>
      </c>
      <c r="W31" s="8">
        <f t="shared" si="69"/>
        <v>0.5097124079</v>
      </c>
      <c r="X31" s="8">
        <f t="shared" si="12"/>
        <v>0.4252641599</v>
      </c>
      <c r="Y31" s="8">
        <f t="shared" si="13"/>
        <v>0.06502343214</v>
      </c>
    </row>
    <row r="32">
      <c r="A32" s="4" t="s">
        <v>55</v>
      </c>
      <c r="B32" s="5">
        <v>853687.0</v>
      </c>
      <c r="C32" s="5">
        <v>341564.0</v>
      </c>
      <c r="D32" s="5">
        <v>492923.0</v>
      </c>
      <c r="E32" s="5">
        <v>45695.0</v>
      </c>
      <c r="F32" s="5">
        <v>236514.0</v>
      </c>
      <c r="G32" s="5">
        <v>191712.0</v>
      </c>
      <c r="H32" s="5">
        <v>117724.0</v>
      </c>
      <c r="I32" s="5">
        <v>123625.0</v>
      </c>
      <c r="J32" s="5">
        <v>175708.0</v>
      </c>
      <c r="K32" s="5">
        <v>139161.0</v>
      </c>
      <c r="L32" s="5">
        <v>17536.0</v>
      </c>
      <c r="M32" s="6">
        <f t="shared" si="3"/>
        <v>834487</v>
      </c>
      <c r="N32" s="6">
        <f t="shared" si="4"/>
        <v>715270</v>
      </c>
      <c r="O32" s="7">
        <f t="shared" si="5"/>
        <v>332405</v>
      </c>
      <c r="P32" s="8">
        <f t="shared" si="6"/>
        <v>0.409310151</v>
      </c>
      <c r="Q32" s="8">
        <f t="shared" ref="Q32:R32" si="70">D32/M32</f>
        <v>0.590689849</v>
      </c>
      <c r="R32" s="8">
        <f t="shared" si="70"/>
        <v>0.06388496652</v>
      </c>
      <c r="S32" s="8">
        <f t="shared" si="8"/>
        <v>0.3306639451</v>
      </c>
      <c r="T32" s="8">
        <f t="shared" si="9"/>
        <v>0.2680274582</v>
      </c>
      <c r="U32" s="8">
        <f t="shared" si="10"/>
        <v>0.1645867994</v>
      </c>
      <c r="V32" s="8">
        <f t="shared" ref="V32:W32" si="71">I32/N32</f>
        <v>0.1728368308</v>
      </c>
      <c r="W32" s="8">
        <f t="shared" si="71"/>
        <v>0.5285961403</v>
      </c>
      <c r="X32" s="8">
        <f t="shared" si="12"/>
        <v>0.4186489373</v>
      </c>
      <c r="Y32" s="8">
        <f t="shared" si="13"/>
        <v>0.05275492246</v>
      </c>
    </row>
    <row r="33">
      <c r="A33" s="4" t="s">
        <v>56</v>
      </c>
      <c r="B33" s="5">
        <v>383144.0</v>
      </c>
      <c r="C33" s="5">
        <v>116076.0</v>
      </c>
      <c r="D33" s="5">
        <v>225818.0</v>
      </c>
      <c r="E33" s="5">
        <v>49956.0</v>
      </c>
      <c r="F33" s="5">
        <v>112563.0</v>
      </c>
      <c r="G33" s="5">
        <v>72017.0</v>
      </c>
      <c r="H33" s="5">
        <v>39698.0</v>
      </c>
      <c r="I33" s="5">
        <v>33100.0</v>
      </c>
      <c r="J33" s="5">
        <v>54378.0</v>
      </c>
      <c r="K33" s="5">
        <v>56854.0</v>
      </c>
      <c r="L33" s="5">
        <v>7856.0</v>
      </c>
      <c r="M33" s="6">
        <f t="shared" si="3"/>
        <v>341894</v>
      </c>
      <c r="N33" s="6">
        <f t="shared" si="4"/>
        <v>307334</v>
      </c>
      <c r="O33" s="7">
        <f t="shared" si="5"/>
        <v>119088</v>
      </c>
      <c r="P33" s="8">
        <f t="shared" si="6"/>
        <v>0.3395087366</v>
      </c>
      <c r="Q33" s="8">
        <f t="shared" ref="Q33:R33" si="72">D33/M33</f>
        <v>0.6604912634</v>
      </c>
      <c r="R33" s="8">
        <f t="shared" si="72"/>
        <v>0.1625462851</v>
      </c>
      <c r="S33" s="8">
        <f t="shared" si="8"/>
        <v>0.3662562554</v>
      </c>
      <c r="T33" s="8">
        <f t="shared" si="9"/>
        <v>0.2343281251</v>
      </c>
      <c r="U33" s="8">
        <f t="shared" si="10"/>
        <v>0.1291689172</v>
      </c>
      <c r="V33" s="8">
        <f t="shared" ref="V33:W33" si="73">I33/N33</f>
        <v>0.1077004171</v>
      </c>
      <c r="W33" s="8">
        <f t="shared" si="73"/>
        <v>0.4566203144</v>
      </c>
      <c r="X33" s="8">
        <f t="shared" si="12"/>
        <v>0.477411662</v>
      </c>
      <c r="Y33" s="8">
        <f t="shared" si="13"/>
        <v>0.06596802365</v>
      </c>
    </row>
    <row r="34">
      <c r="A34" s="4" t="s">
        <v>57</v>
      </c>
      <c r="B34" s="5">
        <v>798644.0</v>
      </c>
      <c r="C34" s="5">
        <v>351655.0</v>
      </c>
      <c r="D34" s="5">
        <v>432467.0</v>
      </c>
      <c r="E34" s="5">
        <v>35915.0</v>
      </c>
      <c r="F34" s="5">
        <v>171921.0</v>
      </c>
      <c r="G34" s="5">
        <v>186540.0</v>
      </c>
      <c r="H34" s="5">
        <v>127999.0</v>
      </c>
      <c r="I34" s="5">
        <v>140238.0</v>
      </c>
      <c r="J34" s="5">
        <v>172700.0</v>
      </c>
      <c r="K34" s="5">
        <v>140290.0</v>
      </c>
      <c r="L34" s="5">
        <v>17962.0</v>
      </c>
      <c r="M34" s="6">
        <f t="shared" si="3"/>
        <v>784122</v>
      </c>
      <c r="N34" s="6">
        <f t="shared" si="4"/>
        <v>662613</v>
      </c>
      <c r="O34" s="7">
        <f t="shared" si="5"/>
        <v>330952</v>
      </c>
      <c r="P34" s="8">
        <f t="shared" si="6"/>
        <v>0.4484697534</v>
      </c>
      <c r="Q34" s="8">
        <f t="shared" ref="Q34:R34" si="74">D34/M34</f>
        <v>0.5515302466</v>
      </c>
      <c r="R34" s="8">
        <f t="shared" si="74"/>
        <v>0.05420207572</v>
      </c>
      <c r="S34" s="8">
        <f t="shared" si="8"/>
        <v>0.2594591413</v>
      </c>
      <c r="T34" s="8">
        <f t="shared" si="9"/>
        <v>0.2815217933</v>
      </c>
      <c r="U34" s="8">
        <f t="shared" si="10"/>
        <v>0.193173089</v>
      </c>
      <c r="V34" s="8">
        <f t="shared" ref="V34:W34" si="75">I34/N34</f>
        <v>0.2116439007</v>
      </c>
      <c r="W34" s="8">
        <f t="shared" si="75"/>
        <v>0.5218279388</v>
      </c>
      <c r="X34" s="8">
        <f t="shared" si="12"/>
        <v>0.4238983297</v>
      </c>
      <c r="Y34" s="8">
        <f t="shared" si="13"/>
        <v>0.05427373154</v>
      </c>
    </row>
    <row r="35">
      <c r="A35" s="4" t="s">
        <v>58</v>
      </c>
      <c r="B35" s="5">
        <v>1.4383372E7</v>
      </c>
      <c r="C35" s="5">
        <v>4469847.0</v>
      </c>
      <c r="D35" s="5">
        <v>5382392.0</v>
      </c>
      <c r="E35" s="5">
        <v>600797.0</v>
      </c>
      <c r="F35" s="5">
        <v>1570020.0</v>
      </c>
      <c r="G35" s="5">
        <v>1611553.0</v>
      </c>
      <c r="H35" s="5">
        <v>1264115.0</v>
      </c>
      <c r="I35" s="5">
        <v>1588123.0</v>
      </c>
      <c r="J35" s="5">
        <v>1787893.0</v>
      </c>
      <c r="K35" s="5">
        <v>1189877.0</v>
      </c>
      <c r="L35" s="5">
        <v>115023.0</v>
      </c>
      <c r="M35" s="6">
        <f t="shared" si="3"/>
        <v>9852239</v>
      </c>
      <c r="N35" s="6">
        <f t="shared" si="4"/>
        <v>6634608</v>
      </c>
      <c r="O35" s="7">
        <f t="shared" si="5"/>
        <v>3092793</v>
      </c>
      <c r="P35" s="8">
        <f t="shared" si="6"/>
        <v>0.4536884458</v>
      </c>
      <c r="Q35" s="8">
        <f t="shared" ref="Q35:R35" si="76">D35/M35</f>
        <v>0.5463115542</v>
      </c>
      <c r="R35" s="8">
        <f t="shared" si="76"/>
        <v>0.09055501094</v>
      </c>
      <c r="S35" s="8">
        <f t="shared" si="8"/>
        <v>0.236640959</v>
      </c>
      <c r="T35" s="8">
        <f t="shared" si="9"/>
        <v>0.2429010124</v>
      </c>
      <c r="U35" s="8">
        <f t="shared" si="10"/>
        <v>0.1905334874</v>
      </c>
      <c r="V35" s="8">
        <f t="shared" ref="V35:W35" si="77">I35/N35</f>
        <v>0.2393695302</v>
      </c>
      <c r="W35" s="8">
        <f t="shared" si="77"/>
        <v>0.5780836286</v>
      </c>
      <c r="X35" s="8">
        <f t="shared" si="12"/>
        <v>0.3847257156</v>
      </c>
      <c r="Y35" s="8">
        <f t="shared" si="13"/>
        <v>0.03719065582</v>
      </c>
    </row>
    <row r="36">
      <c r="A36" s="4" t="s">
        <v>59</v>
      </c>
      <c r="B36" s="5">
        <v>2938172.0</v>
      </c>
      <c r="C36" s="5">
        <v>1137859.0</v>
      </c>
      <c r="D36" s="5">
        <v>1594690.0</v>
      </c>
      <c r="E36" s="5">
        <v>277048.0</v>
      </c>
      <c r="F36" s="5">
        <v>729779.0</v>
      </c>
      <c r="G36" s="5">
        <v>655860.0</v>
      </c>
      <c r="H36" s="5">
        <v>435545.0</v>
      </c>
      <c r="I36" s="5">
        <v>415736.0</v>
      </c>
      <c r="J36" s="5">
        <v>493914.0</v>
      </c>
      <c r="K36" s="5">
        <v>530991.0</v>
      </c>
      <c r="L36" s="5">
        <v>88451.0</v>
      </c>
      <c r="M36" s="6">
        <f t="shared" si="3"/>
        <v>2732549</v>
      </c>
      <c r="N36" s="6">
        <f t="shared" si="4"/>
        <v>2513968</v>
      </c>
      <c r="O36" s="7">
        <f t="shared" si="5"/>
        <v>1113356</v>
      </c>
      <c r="P36" s="8">
        <f t="shared" si="6"/>
        <v>0.4164093672</v>
      </c>
      <c r="Q36" s="8">
        <f t="shared" ref="Q36:R36" si="78">D36/M36</f>
        <v>0.5835906328</v>
      </c>
      <c r="R36" s="8">
        <f t="shared" si="78"/>
        <v>0.1102034712</v>
      </c>
      <c r="S36" s="8">
        <f t="shared" si="8"/>
        <v>0.2902896934</v>
      </c>
      <c r="T36" s="8">
        <f t="shared" si="9"/>
        <v>0.2608863756</v>
      </c>
      <c r="U36" s="8">
        <f t="shared" si="10"/>
        <v>0.1732500175</v>
      </c>
      <c r="V36" s="8">
        <f t="shared" ref="V36:W36" si="79">I36/N36</f>
        <v>0.1653704423</v>
      </c>
      <c r="W36" s="8">
        <f t="shared" si="79"/>
        <v>0.4436262974</v>
      </c>
      <c r="X36" s="8">
        <f t="shared" si="12"/>
        <v>0.476928314</v>
      </c>
      <c r="Y36" s="8">
        <f t="shared" si="13"/>
        <v>0.07944538854</v>
      </c>
    </row>
    <row r="37">
      <c r="A37" s="4" t="s">
        <v>60</v>
      </c>
      <c r="B37" s="5">
        <v>1131758.0</v>
      </c>
      <c r="C37" s="5">
        <v>472658.0</v>
      </c>
      <c r="D37" s="5">
        <v>562296.0</v>
      </c>
      <c r="E37" s="5">
        <v>117027.0</v>
      </c>
      <c r="F37" s="5">
        <v>265981.0</v>
      </c>
      <c r="G37" s="5">
        <v>216979.0</v>
      </c>
      <c r="H37" s="5">
        <v>145377.0</v>
      </c>
      <c r="I37" s="5">
        <v>165382.0</v>
      </c>
      <c r="J37" s="5">
        <v>189396.0</v>
      </c>
      <c r="K37" s="5">
        <v>170899.0</v>
      </c>
      <c r="L37" s="5">
        <v>23358.0</v>
      </c>
      <c r="M37" s="6">
        <f t="shared" si="3"/>
        <v>1034954</v>
      </c>
      <c r="N37" s="6">
        <f t="shared" si="4"/>
        <v>910746</v>
      </c>
      <c r="O37" s="7">
        <f t="shared" si="5"/>
        <v>383653</v>
      </c>
      <c r="P37" s="8">
        <f t="shared" si="6"/>
        <v>0.4566946937</v>
      </c>
      <c r="Q37" s="8">
        <f t="shared" ref="Q37:R37" si="80">D37/M37</f>
        <v>0.5433053063</v>
      </c>
      <c r="R37" s="8">
        <f t="shared" si="80"/>
        <v>0.1284957606</v>
      </c>
      <c r="S37" s="8">
        <f t="shared" si="8"/>
        <v>0.2920473985</v>
      </c>
      <c r="T37" s="8">
        <f t="shared" si="9"/>
        <v>0.2382431545</v>
      </c>
      <c r="U37" s="8">
        <f t="shared" si="10"/>
        <v>0.1596240884</v>
      </c>
      <c r="V37" s="8">
        <f t="shared" ref="V37:W37" si="81">I37/N37</f>
        <v>0.181589598</v>
      </c>
      <c r="W37" s="8">
        <f t="shared" si="81"/>
        <v>0.4936648482</v>
      </c>
      <c r="X37" s="8">
        <f t="shared" si="12"/>
        <v>0.44545201</v>
      </c>
      <c r="Y37" s="8">
        <f t="shared" si="13"/>
        <v>0.0608831418</v>
      </c>
    </row>
    <row r="38">
      <c r="A38" s="4" t="s">
        <v>61</v>
      </c>
      <c r="B38" s="5">
        <v>0.0</v>
      </c>
      <c r="C38" s="5">
        <v>0.0</v>
      </c>
      <c r="D38" s="5">
        <v>0.0</v>
      </c>
      <c r="E38" s="5">
        <v>0.0</v>
      </c>
      <c r="F38" s="5">
        <v>0.0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5">
        <v>0.0</v>
      </c>
      <c r="M38" s="6">
        <f t="shared" si="3"/>
        <v>0</v>
      </c>
      <c r="N38" s="6">
        <f t="shared" si="4"/>
        <v>0</v>
      </c>
      <c r="O38" s="7">
        <f t="shared" si="5"/>
        <v>0</v>
      </c>
      <c r="P38" s="8" t="str">
        <f t="shared" si="6"/>
        <v>#DIV/0!</v>
      </c>
      <c r="Q38" s="8" t="str">
        <f t="shared" ref="Q38:R38" si="82">D38/M38</f>
        <v>#DIV/0!</v>
      </c>
      <c r="R38" s="8" t="str">
        <f t="shared" si="82"/>
        <v>#DIV/0!</v>
      </c>
      <c r="S38" s="8" t="str">
        <f t="shared" si="8"/>
        <v>#DIV/0!</v>
      </c>
      <c r="T38" s="8" t="str">
        <f t="shared" si="9"/>
        <v>#DIV/0!</v>
      </c>
      <c r="U38" s="8" t="str">
        <f t="shared" si="10"/>
        <v>#DIV/0!</v>
      </c>
      <c r="V38" s="8" t="str">
        <f t="shared" ref="V38:W38" si="83">I38/N38</f>
        <v>#DIV/0!</v>
      </c>
      <c r="W38" s="8" t="str">
        <f t="shared" si="83"/>
        <v>#DIV/0!</v>
      </c>
      <c r="X38" s="8" t="str">
        <f t="shared" si="12"/>
        <v>#DIV/0!</v>
      </c>
      <c r="Y38" s="8" t="str">
        <f t="shared" si="13"/>
        <v>#DIV/0!</v>
      </c>
    </row>
    <row r="39">
      <c r="A39" s="4" t="s">
        <v>62</v>
      </c>
      <c r="B39" s="5">
        <v>2927255.0</v>
      </c>
      <c r="C39" s="5">
        <v>1356143.0</v>
      </c>
      <c r="D39" s="5">
        <v>1328113.0</v>
      </c>
      <c r="E39" s="5">
        <v>275230.0</v>
      </c>
      <c r="F39" s="5">
        <v>687584.0</v>
      </c>
      <c r="G39" s="5">
        <v>610043.0</v>
      </c>
      <c r="H39" s="5">
        <v>406108.0</v>
      </c>
      <c r="I39" s="5">
        <v>405469.0</v>
      </c>
      <c r="J39" s="5">
        <v>493628.0</v>
      </c>
      <c r="K39" s="5">
        <v>436249.0</v>
      </c>
      <c r="L39" s="5">
        <v>63794.0</v>
      </c>
      <c r="M39" s="6">
        <f t="shared" si="3"/>
        <v>2684256</v>
      </c>
      <c r="N39" s="6">
        <f t="shared" si="4"/>
        <v>2384434</v>
      </c>
      <c r="O39" s="7">
        <f t="shared" si="5"/>
        <v>993671</v>
      </c>
      <c r="P39" s="8">
        <f t="shared" si="6"/>
        <v>0.5052211861</v>
      </c>
      <c r="Q39" s="8">
        <f t="shared" ref="Q39:R39" si="84">D39/M39</f>
        <v>0.4947788139</v>
      </c>
      <c r="R39" s="8">
        <f t="shared" si="84"/>
        <v>0.1154278122</v>
      </c>
      <c r="S39" s="8">
        <f t="shared" si="8"/>
        <v>0.2883636117</v>
      </c>
      <c r="T39" s="8">
        <f t="shared" si="9"/>
        <v>0.2558439445</v>
      </c>
      <c r="U39" s="8">
        <f t="shared" si="10"/>
        <v>0.1703163099</v>
      </c>
      <c r="V39" s="8">
        <f t="shared" ref="V39:W39" si="85">I39/N39</f>
        <v>0.1700483217</v>
      </c>
      <c r="W39" s="8">
        <f t="shared" si="85"/>
        <v>0.4967720704</v>
      </c>
      <c r="X39" s="8">
        <f t="shared" si="12"/>
        <v>0.4390276057</v>
      </c>
      <c r="Y39" s="8">
        <f t="shared" si="13"/>
        <v>0.06420032385</v>
      </c>
    </row>
    <row r="40">
      <c r="A40" s="4" t="s">
        <v>63</v>
      </c>
      <c r="B40" s="5">
        <v>1.3056872E7</v>
      </c>
      <c r="C40" s="5">
        <v>4825415.0</v>
      </c>
      <c r="D40" s="5">
        <v>5527463.0</v>
      </c>
      <c r="E40" s="5">
        <v>830706.0</v>
      </c>
      <c r="F40" s="5">
        <v>1950075.0</v>
      </c>
      <c r="G40" s="5">
        <v>1854388.0</v>
      </c>
      <c r="H40" s="5">
        <v>1421487.0</v>
      </c>
      <c r="I40" s="5">
        <v>1743322.0</v>
      </c>
      <c r="J40" s="5">
        <v>1795386.0</v>
      </c>
      <c r="K40" s="5">
        <v>1329827.0</v>
      </c>
      <c r="L40" s="5">
        <v>176165.0</v>
      </c>
      <c r="M40" s="6">
        <f t="shared" si="3"/>
        <v>10352878</v>
      </c>
      <c r="N40" s="6">
        <f t="shared" si="4"/>
        <v>7799978</v>
      </c>
      <c r="O40" s="7">
        <f t="shared" si="5"/>
        <v>3301378</v>
      </c>
      <c r="P40" s="8">
        <f t="shared" si="6"/>
        <v>0.4660940658</v>
      </c>
      <c r="Q40" s="8">
        <f t="shared" ref="Q40:R40" si="86">D40/M40</f>
        <v>0.5339059342</v>
      </c>
      <c r="R40" s="8">
        <f t="shared" si="86"/>
        <v>0.1065010696</v>
      </c>
      <c r="S40" s="8">
        <f t="shared" si="8"/>
        <v>0.2500103205</v>
      </c>
      <c r="T40" s="8">
        <f t="shared" si="9"/>
        <v>0.2377427218</v>
      </c>
      <c r="U40" s="8">
        <f t="shared" si="10"/>
        <v>0.1822424371</v>
      </c>
      <c r="V40" s="8">
        <f t="shared" ref="V40:W40" si="87">I40/N40</f>
        <v>0.2235034509</v>
      </c>
      <c r="W40" s="8">
        <f t="shared" si="87"/>
        <v>0.5438292737</v>
      </c>
      <c r="X40" s="8">
        <f t="shared" si="12"/>
        <v>0.4028096752</v>
      </c>
      <c r="Y40" s="8">
        <f t="shared" si="13"/>
        <v>0.05336105105</v>
      </c>
    </row>
    <row r="41">
      <c r="A41" s="4" t="s">
        <v>64</v>
      </c>
      <c r="B41" s="5">
        <v>138413.0</v>
      </c>
      <c r="C41" s="5">
        <v>68979.0</v>
      </c>
      <c r="D41" s="5">
        <v>66326.0</v>
      </c>
      <c r="E41" s="5">
        <v>12951.0</v>
      </c>
      <c r="F41" s="5">
        <v>46096.0</v>
      </c>
      <c r="G41" s="5">
        <v>31731.0</v>
      </c>
      <c r="H41" s="5">
        <v>16512.0</v>
      </c>
      <c r="I41" s="5">
        <v>13929.0</v>
      </c>
      <c r="J41" s="5">
        <v>25329.0</v>
      </c>
      <c r="K41" s="5">
        <v>30358.0</v>
      </c>
      <c r="L41" s="5">
        <v>5382.0</v>
      </c>
      <c r="M41" s="6">
        <f t="shared" si="3"/>
        <v>135305</v>
      </c>
      <c r="N41" s="6">
        <f t="shared" si="4"/>
        <v>121219</v>
      </c>
      <c r="O41" s="7">
        <f t="shared" si="5"/>
        <v>61069</v>
      </c>
      <c r="P41" s="8">
        <f t="shared" si="6"/>
        <v>0.5098037767</v>
      </c>
      <c r="Q41" s="8">
        <f t="shared" ref="Q41:R41" si="88">D41/M41</f>
        <v>0.4901962233</v>
      </c>
      <c r="R41" s="8">
        <f t="shared" si="88"/>
        <v>0.1068396868</v>
      </c>
      <c r="S41" s="8">
        <f t="shared" si="8"/>
        <v>0.3802704197</v>
      </c>
      <c r="T41" s="8">
        <f t="shared" si="9"/>
        <v>0.2617658948</v>
      </c>
      <c r="U41" s="8">
        <f t="shared" si="10"/>
        <v>0.1362162697</v>
      </c>
      <c r="V41" s="8">
        <f t="shared" ref="V41:W41" si="89">I41/N41</f>
        <v>0.114907729</v>
      </c>
      <c r="W41" s="8">
        <f t="shared" si="89"/>
        <v>0.414760353</v>
      </c>
      <c r="X41" s="8">
        <f t="shared" si="12"/>
        <v>0.4971098266</v>
      </c>
      <c r="Y41" s="8">
        <f t="shared" si="13"/>
        <v>0.08812982037</v>
      </c>
    </row>
    <row r="42">
      <c r="A42" s="4" t="s">
        <v>65</v>
      </c>
      <c r="B42" s="5">
        <v>6531370.0</v>
      </c>
      <c r="C42" s="5">
        <v>2754564.0</v>
      </c>
      <c r="D42" s="5">
        <v>3143261.0</v>
      </c>
      <c r="E42" s="5">
        <v>584548.0</v>
      </c>
      <c r="F42" s="5">
        <v>1466492.0</v>
      </c>
      <c r="G42" s="5">
        <v>1323564.0</v>
      </c>
      <c r="H42" s="5">
        <v>897045.0</v>
      </c>
      <c r="I42" s="5">
        <v>918652.0</v>
      </c>
      <c r="J42" s="5">
        <v>1131994.0</v>
      </c>
      <c r="K42" s="5">
        <v>921729.0</v>
      </c>
      <c r="L42" s="5">
        <v>129630.0</v>
      </c>
      <c r="M42" s="6">
        <f t="shared" si="3"/>
        <v>5897825</v>
      </c>
      <c r="N42" s="6">
        <f t="shared" si="4"/>
        <v>5190301</v>
      </c>
      <c r="O42" s="7">
        <f t="shared" si="5"/>
        <v>2183353</v>
      </c>
      <c r="P42" s="8">
        <f t="shared" si="6"/>
        <v>0.4670474285</v>
      </c>
      <c r="Q42" s="8">
        <f t="shared" ref="Q42:R42" si="90">D42/M42</f>
        <v>0.5329525715</v>
      </c>
      <c r="R42" s="8">
        <f t="shared" si="90"/>
        <v>0.1126231407</v>
      </c>
      <c r="S42" s="8">
        <f t="shared" si="8"/>
        <v>0.2825446925</v>
      </c>
      <c r="T42" s="8">
        <f t="shared" si="9"/>
        <v>0.2550071759</v>
      </c>
      <c r="U42" s="8">
        <f t="shared" si="10"/>
        <v>0.1728310169</v>
      </c>
      <c r="V42" s="8">
        <f t="shared" ref="V42:W42" si="91">I42/N42</f>
        <v>0.176993974</v>
      </c>
      <c r="W42" s="8">
        <f t="shared" si="91"/>
        <v>0.5184658642</v>
      </c>
      <c r="X42" s="8">
        <f t="shared" si="12"/>
        <v>0.4221621515</v>
      </c>
      <c r="Y42" s="8">
        <f t="shared" si="13"/>
        <v>0.05937198428</v>
      </c>
    </row>
    <row r="43">
      <c r="A43" s="4" t="s">
        <v>66</v>
      </c>
      <c r="B43" s="5">
        <v>949371.0</v>
      </c>
      <c r="C43" s="5">
        <v>433571.0</v>
      </c>
      <c r="D43" s="5">
        <v>468822.0</v>
      </c>
      <c r="E43" s="5">
        <v>103141.0</v>
      </c>
      <c r="F43" s="5">
        <v>267670.0</v>
      </c>
      <c r="G43" s="5">
        <v>209623.0</v>
      </c>
      <c r="H43" s="5">
        <v>126350.0</v>
      </c>
      <c r="I43" s="5">
        <v>108485.0</v>
      </c>
      <c r="J43" s="5">
        <v>169166.0</v>
      </c>
      <c r="K43" s="5">
        <v>179695.0</v>
      </c>
      <c r="L43" s="5">
        <v>21077.0</v>
      </c>
      <c r="M43" s="6">
        <f t="shared" si="3"/>
        <v>902393</v>
      </c>
      <c r="N43" s="6">
        <f t="shared" si="4"/>
        <v>815269</v>
      </c>
      <c r="O43" s="7">
        <f t="shared" si="5"/>
        <v>369938</v>
      </c>
      <c r="P43" s="8">
        <f t="shared" si="6"/>
        <v>0.4804680444</v>
      </c>
      <c r="Q43" s="8">
        <f t="shared" ref="Q43:R43" si="92">D43/M43</f>
        <v>0.5195319556</v>
      </c>
      <c r="R43" s="8">
        <f t="shared" si="92"/>
        <v>0.1265116176</v>
      </c>
      <c r="S43" s="8">
        <f t="shared" si="8"/>
        <v>0.3283210818</v>
      </c>
      <c r="T43" s="8">
        <f t="shared" si="9"/>
        <v>0.2571212692</v>
      </c>
      <c r="U43" s="8">
        <f t="shared" si="10"/>
        <v>0.1549795221</v>
      </c>
      <c r="V43" s="8">
        <f t="shared" ref="V43:W43" si="93">I43/N43</f>
        <v>0.1330665093</v>
      </c>
      <c r="W43" s="8">
        <f t="shared" si="93"/>
        <v>0.457282031</v>
      </c>
      <c r="X43" s="8">
        <f t="shared" si="12"/>
        <v>0.485743557</v>
      </c>
      <c r="Y43" s="8">
        <f t="shared" si="13"/>
        <v>0.05697441193</v>
      </c>
    </row>
    <row r="44">
      <c r="A44" s="4" t="s">
        <v>67</v>
      </c>
      <c r="B44" s="5">
        <v>3907247.0</v>
      </c>
      <c r="C44" s="5">
        <v>1786951.0</v>
      </c>
      <c r="D44" s="5">
        <v>1769103.0</v>
      </c>
      <c r="E44" s="5">
        <v>360760.0</v>
      </c>
      <c r="F44" s="5">
        <v>853644.0</v>
      </c>
      <c r="G44" s="5">
        <v>767241.0</v>
      </c>
      <c r="H44" s="5">
        <v>539916.0</v>
      </c>
      <c r="I44" s="5">
        <v>574188.0</v>
      </c>
      <c r="J44" s="5">
        <v>667691.0</v>
      </c>
      <c r="K44" s="5">
        <v>550390.0</v>
      </c>
      <c r="L44" s="5">
        <v>75989.0</v>
      </c>
      <c r="M44" s="6">
        <f t="shared" si="3"/>
        <v>3556054</v>
      </c>
      <c r="N44" s="6">
        <f t="shared" si="4"/>
        <v>3095749</v>
      </c>
      <c r="O44" s="7">
        <f t="shared" si="5"/>
        <v>1294070</v>
      </c>
      <c r="P44" s="8">
        <f t="shared" si="6"/>
        <v>0.5025095232</v>
      </c>
      <c r="Q44" s="8">
        <f t="shared" ref="Q44:R44" si="94">D44/M44</f>
        <v>0.4974904768</v>
      </c>
      <c r="R44" s="8">
        <f t="shared" si="94"/>
        <v>0.1165339955</v>
      </c>
      <c r="S44" s="8">
        <f t="shared" si="8"/>
        <v>0.2757471617</v>
      </c>
      <c r="T44" s="8">
        <f t="shared" si="9"/>
        <v>0.2478369532</v>
      </c>
      <c r="U44" s="8">
        <f t="shared" si="10"/>
        <v>0.1744056123</v>
      </c>
      <c r="V44" s="8">
        <f t="shared" ref="V44:W44" si="95">I44/N44</f>
        <v>0.1854762773</v>
      </c>
      <c r="W44" s="8">
        <f t="shared" si="95"/>
        <v>0.5159620422</v>
      </c>
      <c r="X44" s="8">
        <f t="shared" si="12"/>
        <v>0.425317023</v>
      </c>
      <c r="Y44" s="8">
        <f t="shared" si="13"/>
        <v>0.05872093473</v>
      </c>
    </row>
    <row r="45">
      <c r="A45" s="4" t="s">
        <v>68</v>
      </c>
      <c r="B45" s="5">
        <v>1.0791488E7</v>
      </c>
      <c r="C45" s="5">
        <v>4150260.0</v>
      </c>
      <c r="D45" s="5">
        <v>4740443.0</v>
      </c>
      <c r="E45" s="5">
        <v>772313.0</v>
      </c>
      <c r="F45" s="5">
        <v>1826415.0</v>
      </c>
      <c r="G45" s="5">
        <v>1732127.0</v>
      </c>
      <c r="H45" s="5">
        <v>1302181.0</v>
      </c>
      <c r="I45" s="5">
        <v>1503138.0</v>
      </c>
      <c r="J45" s="5">
        <v>1601828.0</v>
      </c>
      <c r="K45" s="5">
        <v>1191813.0</v>
      </c>
      <c r="L45" s="5">
        <v>157260.0</v>
      </c>
      <c r="M45" s="6">
        <f t="shared" si="3"/>
        <v>8890703</v>
      </c>
      <c r="N45" s="6">
        <f t="shared" si="4"/>
        <v>7136174</v>
      </c>
      <c r="O45" s="7">
        <f t="shared" si="5"/>
        <v>2950901</v>
      </c>
      <c r="P45" s="8">
        <f t="shared" si="6"/>
        <v>0.4668089801</v>
      </c>
      <c r="Q45" s="8">
        <f t="shared" ref="Q45:R45" si="96">D45/M45</f>
        <v>0.5331910199</v>
      </c>
      <c r="R45" s="8">
        <f t="shared" si="96"/>
        <v>0.1082250797</v>
      </c>
      <c r="S45" s="8">
        <f t="shared" si="8"/>
        <v>0.2559375654</v>
      </c>
      <c r="T45" s="8">
        <f t="shared" si="9"/>
        <v>0.2427248831</v>
      </c>
      <c r="U45" s="8">
        <f t="shared" si="10"/>
        <v>0.1824760719</v>
      </c>
      <c r="V45" s="8">
        <f t="shared" ref="V45:W45" si="97">I45/N45</f>
        <v>0.2106363998</v>
      </c>
      <c r="W45" s="8">
        <f t="shared" si="97"/>
        <v>0.5428267502</v>
      </c>
      <c r="X45" s="8">
        <f t="shared" si="12"/>
        <v>0.4038810519</v>
      </c>
      <c r="Y45" s="8">
        <f t="shared" si="13"/>
        <v>0.05329219787</v>
      </c>
    </row>
    <row r="46">
      <c r="A46" s="4" t="s">
        <v>69</v>
      </c>
      <c r="B46" s="5">
        <v>2148653.0</v>
      </c>
      <c r="C46" s="5">
        <v>884361.0</v>
      </c>
      <c r="D46" s="5">
        <v>917241.0</v>
      </c>
      <c r="E46" s="5">
        <v>79850.0</v>
      </c>
      <c r="F46" s="5">
        <v>317873.0</v>
      </c>
      <c r="G46" s="5">
        <v>365002.0</v>
      </c>
      <c r="H46" s="5">
        <v>283804.0</v>
      </c>
      <c r="I46" s="5">
        <v>367425.0</v>
      </c>
      <c r="J46" s="5">
        <v>1086667.0</v>
      </c>
      <c r="K46" s="5">
        <v>942538.0</v>
      </c>
      <c r="L46" s="5">
        <v>114322.0</v>
      </c>
      <c r="M46" s="6">
        <f t="shared" si="3"/>
        <v>1801602</v>
      </c>
      <c r="N46" s="6">
        <f t="shared" si="4"/>
        <v>1413954</v>
      </c>
      <c r="O46" s="7">
        <f t="shared" si="5"/>
        <v>2143527</v>
      </c>
      <c r="P46" s="8">
        <f t="shared" si="6"/>
        <v>0.4908747881</v>
      </c>
      <c r="Q46" s="8">
        <f t="shared" ref="Q46:R46" si="98">D46/M46</f>
        <v>0.5091252119</v>
      </c>
      <c r="R46" s="8">
        <f t="shared" si="98"/>
        <v>0.05647284141</v>
      </c>
      <c r="S46" s="8">
        <f t="shared" si="8"/>
        <v>0.2248114154</v>
      </c>
      <c r="T46" s="8">
        <f t="shared" si="9"/>
        <v>0.2581427684</v>
      </c>
      <c r="U46" s="8">
        <f t="shared" si="10"/>
        <v>0.2007165721</v>
      </c>
      <c r="V46" s="8">
        <f t="shared" ref="V46:W46" si="99">I46/N46</f>
        <v>0.2598564027</v>
      </c>
      <c r="W46" s="8">
        <f t="shared" si="99"/>
        <v>0.5069527932</v>
      </c>
      <c r="X46" s="8">
        <f t="shared" si="12"/>
        <v>0.4397136122</v>
      </c>
      <c r="Y46" s="8">
        <f t="shared" si="13"/>
        <v>0.05333359458</v>
      </c>
    </row>
    <row r="47">
      <c r="A47" s="4" t="s">
        <v>70</v>
      </c>
      <c r="B47" s="5">
        <v>8495774.0</v>
      </c>
      <c r="C47" s="5">
        <v>3375946.0</v>
      </c>
      <c r="D47" s="5">
        <v>3887709.0</v>
      </c>
      <c r="E47" s="5">
        <v>668053.0</v>
      </c>
      <c r="F47" s="5">
        <v>1582210.0</v>
      </c>
      <c r="G47" s="5">
        <v>1492586.0</v>
      </c>
      <c r="H47" s="5">
        <v>1099278.0</v>
      </c>
      <c r="I47" s="5">
        <v>1250821.0</v>
      </c>
      <c r="J47" s="5">
        <v>1327420.0</v>
      </c>
      <c r="K47" s="5">
        <v>1024528.0</v>
      </c>
      <c r="L47" s="5">
        <v>139196.0</v>
      </c>
      <c r="M47" s="6">
        <f t="shared" si="3"/>
        <v>7263655</v>
      </c>
      <c r="N47" s="6">
        <f t="shared" si="4"/>
        <v>6092948</v>
      </c>
      <c r="O47" s="7">
        <f t="shared" si="5"/>
        <v>2491144</v>
      </c>
      <c r="P47" s="8">
        <f t="shared" si="6"/>
        <v>0.4647723495</v>
      </c>
      <c r="Q47" s="8">
        <f t="shared" ref="Q47:R47" si="100">D47/M47</f>
        <v>0.5352276505</v>
      </c>
      <c r="R47" s="8">
        <f t="shared" si="100"/>
        <v>0.1096436405</v>
      </c>
      <c r="S47" s="8">
        <f t="shared" si="8"/>
        <v>0.2596788944</v>
      </c>
      <c r="T47" s="8">
        <f t="shared" si="9"/>
        <v>0.2449694302</v>
      </c>
      <c r="U47" s="8">
        <f t="shared" si="10"/>
        <v>0.1804180833</v>
      </c>
      <c r="V47" s="8">
        <f t="shared" ref="V47:W47" si="101">I47/N47</f>
        <v>0.2052899516</v>
      </c>
      <c r="W47" s="8">
        <f t="shared" si="101"/>
        <v>0.5328555876</v>
      </c>
      <c r="X47" s="8">
        <f t="shared" si="12"/>
        <v>0.411268076</v>
      </c>
      <c r="Y47" s="8">
        <f t="shared" si="13"/>
        <v>0.05587633633</v>
      </c>
    </row>
    <row r="48">
      <c r="A48" s="4" t="s">
        <v>71</v>
      </c>
      <c r="B48" s="5">
        <v>0.0</v>
      </c>
      <c r="C48" s="5">
        <v>0.0</v>
      </c>
      <c r="D48" s="5">
        <v>0.0</v>
      </c>
      <c r="E48" s="5">
        <v>0.0</v>
      </c>
      <c r="F48" s="5">
        <v>0.0</v>
      </c>
      <c r="G48" s="5">
        <v>0.0</v>
      </c>
      <c r="H48" s="5">
        <v>0.0</v>
      </c>
      <c r="I48" s="5">
        <v>0.0</v>
      </c>
      <c r="J48" s="5">
        <v>0.0</v>
      </c>
      <c r="K48" s="5">
        <v>0.0</v>
      </c>
      <c r="L48" s="5">
        <v>0.0</v>
      </c>
      <c r="M48" s="6">
        <f t="shared" si="3"/>
        <v>0</v>
      </c>
      <c r="N48" s="6">
        <f t="shared" si="4"/>
        <v>0</v>
      </c>
      <c r="O48" s="7">
        <f t="shared" si="5"/>
        <v>0</v>
      </c>
      <c r="P48" s="8" t="str">
        <f t="shared" si="6"/>
        <v>#DIV/0!</v>
      </c>
      <c r="Q48" s="8" t="str">
        <f t="shared" ref="Q48:R48" si="102">D48/M48</f>
        <v>#DIV/0!</v>
      </c>
      <c r="R48" s="8" t="str">
        <f t="shared" si="102"/>
        <v>#DIV/0!</v>
      </c>
      <c r="S48" s="8" t="str">
        <f t="shared" si="8"/>
        <v>#DIV/0!</v>
      </c>
      <c r="T48" s="8" t="str">
        <f t="shared" si="9"/>
        <v>#DIV/0!</v>
      </c>
      <c r="U48" s="8" t="str">
        <f t="shared" si="10"/>
        <v>#DIV/0!</v>
      </c>
      <c r="V48" s="8" t="str">
        <f t="shared" ref="V48:W48" si="103">I48/N48</f>
        <v>#DIV/0!</v>
      </c>
      <c r="W48" s="8" t="str">
        <f t="shared" si="103"/>
        <v>#DIV/0!</v>
      </c>
      <c r="X48" s="8" t="str">
        <f t="shared" si="12"/>
        <v>#DIV/0!</v>
      </c>
      <c r="Y48" s="8" t="str">
        <f t="shared" si="13"/>
        <v>#DIV/0!</v>
      </c>
    </row>
    <row r="49">
      <c r="A49" s="4" t="s">
        <v>72</v>
      </c>
      <c r="B49" s="5">
        <v>2860079.0</v>
      </c>
      <c r="C49" s="5">
        <v>1280665.0</v>
      </c>
      <c r="D49" s="5">
        <v>1300366.0</v>
      </c>
      <c r="E49" s="5">
        <v>296892.0</v>
      </c>
      <c r="F49" s="5">
        <v>670647.0</v>
      </c>
      <c r="G49" s="5">
        <v>567300.0</v>
      </c>
      <c r="H49" s="5">
        <v>375581.0</v>
      </c>
      <c r="I49" s="5">
        <v>375693.0</v>
      </c>
      <c r="J49" s="5">
        <v>481702.0</v>
      </c>
      <c r="K49" s="5">
        <v>392541.0</v>
      </c>
      <c r="L49" s="5">
        <v>48325.0</v>
      </c>
      <c r="M49" s="6">
        <f t="shared" si="3"/>
        <v>2581031</v>
      </c>
      <c r="N49" s="6">
        <f t="shared" si="4"/>
        <v>2286113</v>
      </c>
      <c r="O49" s="7">
        <f t="shared" si="5"/>
        <v>922568</v>
      </c>
      <c r="P49" s="8">
        <f t="shared" si="6"/>
        <v>0.4961835019</v>
      </c>
      <c r="Q49" s="8">
        <f t="shared" ref="Q49:R49" si="104">D49/M49</f>
        <v>0.5038164981</v>
      </c>
      <c r="R49" s="8">
        <f t="shared" si="104"/>
        <v>0.1298675962</v>
      </c>
      <c r="S49" s="8">
        <f t="shared" si="8"/>
        <v>0.2933568901</v>
      </c>
      <c r="T49" s="8">
        <f t="shared" si="9"/>
        <v>0.2481504633</v>
      </c>
      <c r="U49" s="8">
        <f t="shared" si="10"/>
        <v>0.1642880295</v>
      </c>
      <c r="V49" s="8">
        <f t="shared" ref="V49:W49" si="105">I49/N49</f>
        <v>0.164337021</v>
      </c>
      <c r="W49" s="8">
        <f t="shared" si="105"/>
        <v>0.5221317019</v>
      </c>
      <c r="X49" s="8">
        <f t="shared" si="12"/>
        <v>0.4254873354</v>
      </c>
      <c r="Y49" s="8">
        <f t="shared" si="13"/>
        <v>0.0523809627</v>
      </c>
    </row>
    <row r="50">
      <c r="A50" s="4" t="s">
        <v>73</v>
      </c>
      <c r="B50" s="5">
        <v>887083.0</v>
      </c>
      <c r="C50" s="5">
        <v>242300.0</v>
      </c>
      <c r="D50" s="5">
        <v>543371.0</v>
      </c>
      <c r="E50" s="5">
        <v>77455.0</v>
      </c>
      <c r="F50" s="5">
        <v>222287.0</v>
      </c>
      <c r="G50" s="5">
        <v>183156.0</v>
      </c>
      <c r="H50" s="5">
        <v>102094.0</v>
      </c>
      <c r="I50" s="5">
        <v>89195.0</v>
      </c>
      <c r="J50" s="5">
        <v>151351.0</v>
      </c>
      <c r="K50" s="5">
        <v>89449.0</v>
      </c>
      <c r="L50" s="5">
        <v>7691.0</v>
      </c>
      <c r="M50" s="6">
        <f t="shared" si="3"/>
        <v>785671</v>
      </c>
      <c r="N50" s="6">
        <f t="shared" si="4"/>
        <v>674187</v>
      </c>
      <c r="O50" s="7">
        <f t="shared" si="5"/>
        <v>248491</v>
      </c>
      <c r="P50" s="8">
        <f t="shared" si="6"/>
        <v>0.3083988082</v>
      </c>
      <c r="Q50" s="8">
        <f t="shared" ref="Q50:R50" si="106">D50/M50</f>
        <v>0.6916011918</v>
      </c>
      <c r="R50" s="8">
        <f t="shared" si="106"/>
        <v>0.1148865226</v>
      </c>
      <c r="S50" s="8">
        <f t="shared" si="8"/>
        <v>0.3297111929</v>
      </c>
      <c r="T50" s="8">
        <f t="shared" si="9"/>
        <v>0.271669433</v>
      </c>
      <c r="U50" s="8">
        <f t="shared" si="10"/>
        <v>0.1514327627</v>
      </c>
      <c r="V50" s="8">
        <f t="shared" ref="V50:W50" si="107">I50/N50</f>
        <v>0.1323000888</v>
      </c>
      <c r="W50" s="8">
        <f t="shared" si="107"/>
        <v>0.6090804094</v>
      </c>
      <c r="X50" s="8">
        <f t="shared" si="12"/>
        <v>0.3599687715</v>
      </c>
      <c r="Y50" s="8">
        <f t="shared" si="13"/>
        <v>0.03095081914</v>
      </c>
    </row>
    <row r="51">
      <c r="A51" s="4" t="s">
        <v>74</v>
      </c>
      <c r="B51" s="5">
        <v>490558.0</v>
      </c>
      <c r="C51" s="5">
        <v>212774.0</v>
      </c>
      <c r="D51" s="5">
        <v>257426.0</v>
      </c>
      <c r="E51" s="5">
        <v>35083.0</v>
      </c>
      <c r="F51" s="5">
        <v>119463.0</v>
      </c>
      <c r="G51" s="5">
        <v>115926.0</v>
      </c>
      <c r="H51" s="5">
        <v>69254.0</v>
      </c>
      <c r="I51" s="5">
        <v>62124.0</v>
      </c>
      <c r="J51" s="5">
        <v>98330.0</v>
      </c>
      <c r="K51" s="5">
        <v>81348.0</v>
      </c>
      <c r="L51" s="5">
        <v>9210.0</v>
      </c>
      <c r="M51" s="6">
        <f t="shared" si="3"/>
        <v>470200</v>
      </c>
      <c r="N51" s="6">
        <f t="shared" si="4"/>
        <v>401850</v>
      </c>
      <c r="O51" s="7">
        <f t="shared" si="5"/>
        <v>188888</v>
      </c>
      <c r="P51" s="8">
        <f t="shared" si="6"/>
        <v>0.4525180774</v>
      </c>
      <c r="Q51" s="8">
        <f t="shared" ref="Q51:R51" si="108">D51/M51</f>
        <v>0.5474819226</v>
      </c>
      <c r="R51" s="8">
        <f t="shared" si="108"/>
        <v>0.08730372029</v>
      </c>
      <c r="S51" s="8">
        <f t="shared" si="8"/>
        <v>0.2972825681</v>
      </c>
      <c r="T51" s="8">
        <f t="shared" si="9"/>
        <v>0.2884807764</v>
      </c>
      <c r="U51" s="8">
        <f t="shared" si="10"/>
        <v>0.172337937</v>
      </c>
      <c r="V51" s="8">
        <f t="shared" ref="V51:W51" si="109">I51/N51</f>
        <v>0.1545949981</v>
      </c>
      <c r="W51" s="8">
        <f t="shared" si="109"/>
        <v>0.520573038</v>
      </c>
      <c r="X51" s="8">
        <f t="shared" si="12"/>
        <v>0.430667909</v>
      </c>
      <c r="Y51" s="8">
        <f t="shared" si="13"/>
        <v>0.04875905298</v>
      </c>
    </row>
    <row r="52">
      <c r="A52" s="4" t="s">
        <v>75</v>
      </c>
      <c r="B52" s="5">
        <v>3173777.0</v>
      </c>
      <c r="C52" s="5">
        <v>1447406.0</v>
      </c>
      <c r="D52" s="5">
        <v>1642344.0</v>
      </c>
      <c r="E52" s="5">
        <v>197299.0</v>
      </c>
      <c r="F52" s="5">
        <v>612929.0</v>
      </c>
      <c r="G52" s="5">
        <v>609475.0</v>
      </c>
      <c r="H52" s="5">
        <v>440049.0</v>
      </c>
      <c r="I52" s="5">
        <v>480586.0</v>
      </c>
      <c r="J52" s="5">
        <v>594364.0</v>
      </c>
      <c r="K52" s="5">
        <v>455160.0</v>
      </c>
      <c r="L52" s="5">
        <v>64035.0</v>
      </c>
      <c r="M52" s="6">
        <f t="shared" si="3"/>
        <v>3089750</v>
      </c>
      <c r="N52" s="6">
        <f t="shared" si="4"/>
        <v>2340338</v>
      </c>
      <c r="O52" s="7">
        <f t="shared" si="5"/>
        <v>1113559</v>
      </c>
      <c r="P52" s="8">
        <f t="shared" si="6"/>
        <v>0.468454082</v>
      </c>
      <c r="Q52" s="8">
        <f t="shared" ref="Q52:R52" si="110">D52/M52</f>
        <v>0.531545918</v>
      </c>
      <c r="R52" s="8">
        <f t="shared" si="110"/>
        <v>0.08430363477</v>
      </c>
      <c r="S52" s="8">
        <f t="shared" si="8"/>
        <v>0.2618976404</v>
      </c>
      <c r="T52" s="8">
        <f t="shared" si="9"/>
        <v>0.2604217852</v>
      </c>
      <c r="U52" s="8">
        <f t="shared" si="10"/>
        <v>0.1880279686</v>
      </c>
      <c r="V52" s="8">
        <f t="shared" ref="V52:W52" si="111">I52/N52</f>
        <v>0.205348971</v>
      </c>
      <c r="W52" s="8">
        <f t="shared" si="111"/>
        <v>0.5337516916</v>
      </c>
      <c r="X52" s="8">
        <f t="shared" si="12"/>
        <v>0.4087434972</v>
      </c>
      <c r="Y52" s="8">
        <f t="shared" si="13"/>
        <v>0.05750481115</v>
      </c>
    </row>
    <row r="53">
      <c r="A53" s="4" t="s">
        <v>76</v>
      </c>
      <c r="B53" s="5">
        <v>1.08511E7</v>
      </c>
      <c r="C53" s="5">
        <v>4073386.0</v>
      </c>
      <c r="D53" s="5">
        <v>4665175.0</v>
      </c>
      <c r="E53" s="5">
        <v>735950.0</v>
      </c>
      <c r="F53" s="5">
        <v>1751749.0</v>
      </c>
      <c r="G53" s="5">
        <v>1661354.0</v>
      </c>
      <c r="H53" s="5">
        <v>1255583.0</v>
      </c>
      <c r="I53" s="5">
        <v>1514486.0</v>
      </c>
      <c r="J53" s="5">
        <v>1585424.0</v>
      </c>
      <c r="K53" s="5">
        <v>1227596.0</v>
      </c>
      <c r="L53" s="5">
        <v>164825.0</v>
      </c>
      <c r="M53" s="6">
        <f t="shared" si="3"/>
        <v>8738561</v>
      </c>
      <c r="N53" s="6">
        <f t="shared" si="4"/>
        <v>6919122</v>
      </c>
      <c r="O53" s="7">
        <f t="shared" si="5"/>
        <v>2977845</v>
      </c>
      <c r="P53" s="8">
        <f t="shared" si="6"/>
        <v>0.466139219</v>
      </c>
      <c r="Q53" s="8">
        <f t="shared" ref="Q53:R53" si="112">D53/M53</f>
        <v>0.533860781</v>
      </c>
      <c r="R53" s="8">
        <f t="shared" si="112"/>
        <v>0.1063646515</v>
      </c>
      <c r="S53" s="8">
        <f t="shared" si="8"/>
        <v>0.2531750416</v>
      </c>
      <c r="T53" s="8">
        <f t="shared" si="9"/>
        <v>0.2401105227</v>
      </c>
      <c r="U53" s="8">
        <f t="shared" si="10"/>
        <v>0.1814656542</v>
      </c>
      <c r="V53" s="8">
        <f t="shared" ref="V53:W53" si="113">I53/N53</f>
        <v>0.2188841301</v>
      </c>
      <c r="W53" s="8">
        <f t="shared" si="113"/>
        <v>0.5324064886</v>
      </c>
      <c r="X53" s="8">
        <f t="shared" si="12"/>
        <v>0.4122430818</v>
      </c>
      <c r="Y53" s="8">
        <f t="shared" si="13"/>
        <v>0.05535042959</v>
      </c>
    </row>
    <row r="54">
      <c r="A54" s="4" t="s">
        <v>77</v>
      </c>
      <c r="B54" s="5">
        <v>0.0</v>
      </c>
      <c r="C54" s="5">
        <v>0.0</v>
      </c>
      <c r="D54" s="5">
        <v>0.0</v>
      </c>
      <c r="E54" s="5">
        <v>0.0</v>
      </c>
      <c r="F54" s="5">
        <v>0.0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6">
        <f t="shared" si="3"/>
        <v>0</v>
      </c>
      <c r="N54" s="6">
        <f t="shared" si="4"/>
        <v>0</v>
      </c>
      <c r="O54" s="7">
        <f t="shared" si="5"/>
        <v>0</v>
      </c>
      <c r="P54" s="8" t="str">
        <f t="shared" si="6"/>
        <v>#DIV/0!</v>
      </c>
      <c r="Q54" s="8" t="str">
        <f t="shared" ref="Q54:R54" si="114">D54/M54</f>
        <v>#DIV/0!</v>
      </c>
      <c r="R54" s="8" t="str">
        <f t="shared" si="114"/>
        <v>#DIV/0!</v>
      </c>
      <c r="S54" s="8" t="str">
        <f t="shared" si="8"/>
        <v>#DIV/0!</v>
      </c>
      <c r="T54" s="8" t="str">
        <f t="shared" si="9"/>
        <v>#DIV/0!</v>
      </c>
      <c r="U54" s="8" t="str">
        <f t="shared" si="10"/>
        <v>#DIV/0!</v>
      </c>
      <c r="V54" s="8" t="str">
        <f t="shared" ref="V54:W54" si="115">I54/N54</f>
        <v>#DIV/0!</v>
      </c>
      <c r="W54" s="8" t="str">
        <f t="shared" si="115"/>
        <v>#DIV/0!</v>
      </c>
      <c r="X54" s="8" t="str">
        <f t="shared" si="12"/>
        <v>#DIV/0!</v>
      </c>
      <c r="Y54" s="8" t="str">
        <f t="shared" si="13"/>
        <v>#DIV/0!</v>
      </c>
    </row>
    <row r="55">
      <c r="A55" s="4" t="s">
        <v>78</v>
      </c>
      <c r="B55" s="5">
        <v>2185105.0</v>
      </c>
      <c r="C55" s="5">
        <v>1005121.0</v>
      </c>
      <c r="D55" s="5">
        <v>1120288.0</v>
      </c>
      <c r="E55" s="5">
        <v>140358.0</v>
      </c>
      <c r="F55" s="5">
        <v>420782.0</v>
      </c>
      <c r="G55" s="5">
        <v>404720.0</v>
      </c>
      <c r="H55" s="5">
        <v>295602.0</v>
      </c>
      <c r="I55" s="5">
        <v>330582.0</v>
      </c>
      <c r="J55" s="5">
        <v>388440.0</v>
      </c>
      <c r="K55" s="5">
        <v>311532.0</v>
      </c>
      <c r="L55" s="5">
        <v>52045.0</v>
      </c>
      <c r="M55" s="6">
        <f t="shared" si="3"/>
        <v>2125409</v>
      </c>
      <c r="N55" s="6">
        <f t="shared" si="4"/>
        <v>1592044</v>
      </c>
      <c r="O55" s="7">
        <f t="shared" si="5"/>
        <v>752017</v>
      </c>
      <c r="P55" s="8">
        <f t="shared" si="6"/>
        <v>0.4729070969</v>
      </c>
      <c r="Q55" s="8">
        <f t="shared" ref="Q55:R55" si="116">D55/M55</f>
        <v>0.5270929031</v>
      </c>
      <c r="R55" s="8">
        <f t="shared" si="116"/>
        <v>0.08816213622</v>
      </c>
      <c r="S55" s="8">
        <f t="shared" si="8"/>
        <v>0.2643029967</v>
      </c>
      <c r="T55" s="8">
        <f t="shared" si="9"/>
        <v>0.2542140795</v>
      </c>
      <c r="U55" s="8">
        <f t="shared" si="10"/>
        <v>0.1856745165</v>
      </c>
      <c r="V55" s="8">
        <f t="shared" ref="V55:W55" si="117">I55/N55</f>
        <v>0.2076462711</v>
      </c>
      <c r="W55" s="8">
        <f t="shared" si="117"/>
        <v>0.5165308763</v>
      </c>
      <c r="X55" s="8">
        <f t="shared" si="12"/>
        <v>0.4142619116</v>
      </c>
      <c r="Y55" s="8">
        <f t="shared" si="13"/>
        <v>0.06920721207</v>
      </c>
    </row>
    <row r="56">
      <c r="A56" s="4" t="s">
        <v>79</v>
      </c>
      <c r="B56" s="5">
        <v>4396169.0</v>
      </c>
      <c r="C56" s="5">
        <v>1905709.0</v>
      </c>
      <c r="D56" s="5">
        <v>2223638.0</v>
      </c>
      <c r="E56" s="5">
        <v>420753.0</v>
      </c>
      <c r="F56" s="5">
        <v>948927.0</v>
      </c>
      <c r="G56" s="5">
        <v>802912.0</v>
      </c>
      <c r="H56" s="5">
        <v>549618.0</v>
      </c>
      <c r="I56" s="5">
        <v>530566.0</v>
      </c>
      <c r="J56" s="5">
        <v>739549.0</v>
      </c>
      <c r="K56" s="5">
        <v>532970.0</v>
      </c>
      <c r="L56" s="5">
        <v>64410.0</v>
      </c>
      <c r="M56" s="6">
        <f t="shared" si="3"/>
        <v>4129347</v>
      </c>
      <c r="N56" s="6">
        <f t="shared" si="4"/>
        <v>3252776</v>
      </c>
      <c r="O56" s="7">
        <f t="shared" si="5"/>
        <v>1336929</v>
      </c>
      <c r="P56" s="8">
        <f t="shared" si="6"/>
        <v>0.4615037196</v>
      </c>
      <c r="Q56" s="8">
        <f t="shared" ref="Q56:R56" si="118">D56/M56</f>
        <v>0.5384962804</v>
      </c>
      <c r="R56" s="8">
        <f t="shared" si="118"/>
        <v>0.1293519751</v>
      </c>
      <c r="S56" s="8">
        <f t="shared" si="8"/>
        <v>0.2917283576</v>
      </c>
      <c r="T56" s="8">
        <f t="shared" si="9"/>
        <v>0.2468390077</v>
      </c>
      <c r="U56" s="8">
        <f t="shared" si="10"/>
        <v>0.1689689053</v>
      </c>
      <c r="V56" s="8">
        <f t="shared" ref="V56:W56" si="119">I56/N56</f>
        <v>0.1631117544</v>
      </c>
      <c r="W56" s="8">
        <f t="shared" si="119"/>
        <v>0.5531699888</v>
      </c>
      <c r="X56" s="8">
        <f t="shared" si="12"/>
        <v>0.398652434</v>
      </c>
      <c r="Y56" s="8">
        <f t="shared" si="13"/>
        <v>0.04817757712</v>
      </c>
    </row>
    <row r="57">
      <c r="A57" s="4" t="s">
        <v>80</v>
      </c>
      <c r="B57" s="5">
        <v>35004.0</v>
      </c>
      <c r="C57" s="5">
        <v>17717.0</v>
      </c>
      <c r="D57" s="5">
        <v>16631.0</v>
      </c>
      <c r="E57" s="5">
        <v>2059.0</v>
      </c>
      <c r="F57" s="5">
        <v>9909.0</v>
      </c>
      <c r="G57" s="5">
        <v>8613.0</v>
      </c>
      <c r="H57" s="5">
        <v>5054.0</v>
      </c>
      <c r="I57" s="5">
        <v>4461.0</v>
      </c>
      <c r="J57" s="5">
        <v>8235.0</v>
      </c>
      <c r="K57" s="5">
        <v>5605.0</v>
      </c>
      <c r="L57" s="5">
        <v>580.0</v>
      </c>
      <c r="M57" s="6">
        <f t="shared" si="3"/>
        <v>34348</v>
      </c>
      <c r="N57" s="6">
        <f t="shared" si="4"/>
        <v>30096</v>
      </c>
      <c r="O57" s="7">
        <f t="shared" si="5"/>
        <v>14420</v>
      </c>
      <c r="P57" s="8">
        <f t="shared" si="6"/>
        <v>0.5158087807</v>
      </c>
      <c r="Q57" s="8">
        <f t="shared" ref="Q57:R57" si="120">D57/M57</f>
        <v>0.4841912193</v>
      </c>
      <c r="R57" s="8">
        <f t="shared" si="120"/>
        <v>0.06841440723</v>
      </c>
      <c r="S57" s="8">
        <f t="shared" si="8"/>
        <v>0.3292464115</v>
      </c>
      <c r="T57" s="8">
        <f t="shared" si="9"/>
        <v>0.2861842105</v>
      </c>
      <c r="U57" s="8">
        <f t="shared" si="10"/>
        <v>0.1679292929</v>
      </c>
      <c r="V57" s="8">
        <f t="shared" ref="V57:W57" si="121">I57/N57</f>
        <v>0.1482256778</v>
      </c>
      <c r="W57" s="8">
        <f t="shared" si="121"/>
        <v>0.5710818308</v>
      </c>
      <c r="X57" s="8">
        <f t="shared" si="12"/>
        <v>0.3886962552</v>
      </c>
      <c r="Y57" s="8">
        <f t="shared" si="13"/>
        <v>0.04022191401</v>
      </c>
    </row>
    <row r="58">
      <c r="A58" s="4" t="s">
        <v>81</v>
      </c>
      <c r="B58" s="5">
        <v>17461.0</v>
      </c>
      <c r="C58" s="5">
        <v>10920.0</v>
      </c>
      <c r="D58" s="5">
        <v>6305.0</v>
      </c>
      <c r="E58" s="5">
        <v>934.0</v>
      </c>
      <c r="F58" s="5">
        <v>6982.0</v>
      </c>
      <c r="G58" s="5">
        <v>7538.0</v>
      </c>
      <c r="H58" s="5">
        <v>1703.0</v>
      </c>
      <c r="I58" s="5">
        <v>29.0</v>
      </c>
      <c r="J58" s="5">
        <v>4424.0</v>
      </c>
      <c r="K58" s="5">
        <v>2656.0</v>
      </c>
      <c r="L58" s="5">
        <v>234.0</v>
      </c>
      <c r="M58" s="6">
        <f t="shared" si="3"/>
        <v>17225</v>
      </c>
      <c r="N58" s="6">
        <f t="shared" si="4"/>
        <v>17186</v>
      </c>
      <c r="O58" s="7">
        <f t="shared" si="5"/>
        <v>7314</v>
      </c>
      <c r="P58" s="8">
        <f t="shared" si="6"/>
        <v>0.6339622642</v>
      </c>
      <c r="Q58" s="8">
        <f t="shared" ref="Q58:R58" si="122">D58/M58</f>
        <v>0.3660377358</v>
      </c>
      <c r="R58" s="8">
        <f t="shared" si="122"/>
        <v>0.05434656115</v>
      </c>
      <c r="S58" s="8">
        <f t="shared" si="8"/>
        <v>0.40626091</v>
      </c>
      <c r="T58" s="8">
        <f t="shared" si="9"/>
        <v>0.4386128244</v>
      </c>
      <c r="U58" s="8">
        <f t="shared" si="10"/>
        <v>0.09909228442</v>
      </c>
      <c r="V58" s="8">
        <f t="shared" ref="V58:W58" si="123">I58/N58</f>
        <v>0.001687419993</v>
      </c>
      <c r="W58" s="8">
        <f t="shared" si="123"/>
        <v>0.6048673776</v>
      </c>
      <c r="X58" s="8">
        <f t="shared" si="12"/>
        <v>0.3631391851</v>
      </c>
      <c r="Y58" s="8">
        <f t="shared" si="13"/>
        <v>0.03199343724</v>
      </c>
    </row>
    <row r="59">
      <c r="A59" s="4" t="s">
        <v>82</v>
      </c>
      <c r="B59" s="5">
        <v>1318981.0</v>
      </c>
      <c r="C59" s="5">
        <v>586377.0</v>
      </c>
      <c r="D59" s="5">
        <v>639638.0</v>
      </c>
      <c r="E59" s="5">
        <v>141576.0</v>
      </c>
      <c r="F59" s="5">
        <v>346000.0</v>
      </c>
      <c r="G59" s="5">
        <v>276106.0</v>
      </c>
      <c r="H59" s="5">
        <v>169076.0</v>
      </c>
      <c r="I59" s="5">
        <v>132981.0</v>
      </c>
      <c r="J59" s="5">
        <v>218734.0</v>
      </c>
      <c r="K59" s="5">
        <v>199862.0</v>
      </c>
      <c r="L59" s="5">
        <v>30784.0</v>
      </c>
      <c r="M59" s="6">
        <f t="shared" si="3"/>
        <v>1226015</v>
      </c>
      <c r="N59" s="6">
        <f t="shared" si="4"/>
        <v>1065739</v>
      </c>
      <c r="O59" s="7">
        <f t="shared" si="5"/>
        <v>449380</v>
      </c>
      <c r="P59" s="8">
        <f t="shared" si="6"/>
        <v>0.4782788139</v>
      </c>
      <c r="Q59" s="8">
        <f t="shared" ref="Q59:R59" si="124">D59/M59</f>
        <v>0.5217211861</v>
      </c>
      <c r="R59" s="8">
        <f t="shared" si="124"/>
        <v>0.1328430319</v>
      </c>
      <c r="S59" s="8">
        <f t="shared" si="8"/>
        <v>0.3246573504</v>
      </c>
      <c r="T59" s="8">
        <f t="shared" si="9"/>
        <v>0.259074689</v>
      </c>
      <c r="U59" s="8">
        <f t="shared" si="10"/>
        <v>0.1586467231</v>
      </c>
      <c r="V59" s="8">
        <f t="shared" ref="V59:W59" si="125">I59/N59</f>
        <v>0.1247782055</v>
      </c>
      <c r="W59" s="8">
        <f t="shared" si="125"/>
        <v>0.4867461836</v>
      </c>
      <c r="X59" s="8">
        <f t="shared" si="12"/>
        <v>0.4447505452</v>
      </c>
      <c r="Y59" s="8">
        <f t="shared" si="13"/>
        <v>0.06850327117</v>
      </c>
    </row>
    <row r="60">
      <c r="A60" s="4" t="s">
        <v>83</v>
      </c>
      <c r="B60" s="5">
        <v>7636115.0</v>
      </c>
      <c r="C60" s="5">
        <v>3014119.0</v>
      </c>
      <c r="D60" s="5">
        <v>3539275.0</v>
      </c>
      <c r="E60" s="5">
        <v>647806.0</v>
      </c>
      <c r="F60" s="5">
        <v>1503238.0</v>
      </c>
      <c r="G60" s="5">
        <v>1385868.0</v>
      </c>
      <c r="H60" s="5">
        <v>950187.0</v>
      </c>
      <c r="I60" s="5">
        <v>918990.0</v>
      </c>
      <c r="J60" s="5">
        <v>1189549.0</v>
      </c>
      <c r="K60" s="5">
        <v>899128.0</v>
      </c>
      <c r="L60" s="5">
        <v>117220.0</v>
      </c>
      <c r="M60" s="6">
        <f t="shared" si="3"/>
        <v>6553394</v>
      </c>
      <c r="N60" s="6">
        <f t="shared" si="4"/>
        <v>5406089</v>
      </c>
      <c r="O60" s="7">
        <f t="shared" si="5"/>
        <v>2205897</v>
      </c>
      <c r="P60" s="8">
        <f t="shared" si="6"/>
        <v>0.4599325174</v>
      </c>
      <c r="Q60" s="8">
        <f t="shared" ref="Q60:R60" si="126">D60/M60</f>
        <v>0.5400674826</v>
      </c>
      <c r="R60" s="8">
        <f t="shared" si="126"/>
        <v>0.1198289558</v>
      </c>
      <c r="S60" s="8">
        <f t="shared" si="8"/>
        <v>0.2780638647</v>
      </c>
      <c r="T60" s="8">
        <f t="shared" si="9"/>
        <v>0.2563531603</v>
      </c>
      <c r="U60" s="8">
        <f t="shared" si="10"/>
        <v>0.1757623672</v>
      </c>
      <c r="V60" s="8">
        <f t="shared" ref="V60:W60" si="127">I60/N60</f>
        <v>0.169991652</v>
      </c>
      <c r="W60" s="8">
        <f t="shared" si="127"/>
        <v>0.5392586327</v>
      </c>
      <c r="X60" s="8">
        <f t="shared" si="12"/>
        <v>0.4076019869</v>
      </c>
      <c r="Y60" s="8">
        <f t="shared" si="13"/>
        <v>0.05313938049</v>
      </c>
    </row>
    <row r="61">
      <c r="A61" s="4" t="s">
        <v>84</v>
      </c>
      <c r="B61" s="5">
        <v>1926205.0</v>
      </c>
      <c r="C61" s="5">
        <v>824863.0</v>
      </c>
      <c r="D61" s="5">
        <v>949180.0</v>
      </c>
      <c r="E61" s="5">
        <v>204442.0</v>
      </c>
      <c r="F61" s="5">
        <v>506417.0</v>
      </c>
      <c r="G61" s="5">
        <v>430968.0</v>
      </c>
      <c r="H61" s="5">
        <v>254461.0</v>
      </c>
      <c r="I61" s="5">
        <v>217734.0</v>
      </c>
      <c r="J61" s="5">
        <v>320172.0</v>
      </c>
      <c r="K61" s="5">
        <v>302024.0</v>
      </c>
      <c r="L61" s="5">
        <v>47794.0</v>
      </c>
      <c r="M61" s="6">
        <f t="shared" si="3"/>
        <v>1774043</v>
      </c>
      <c r="N61" s="6">
        <f t="shared" si="4"/>
        <v>1614022</v>
      </c>
      <c r="O61" s="7">
        <f t="shared" si="5"/>
        <v>669990</v>
      </c>
      <c r="P61" s="8">
        <f t="shared" si="6"/>
        <v>0.464962236</v>
      </c>
      <c r="Q61" s="8">
        <f t="shared" ref="Q61:R61" si="128">D61/M61</f>
        <v>0.535037764</v>
      </c>
      <c r="R61" s="8">
        <f t="shared" si="128"/>
        <v>0.1266661793</v>
      </c>
      <c r="S61" s="8">
        <f t="shared" si="8"/>
        <v>0.3137609029</v>
      </c>
      <c r="T61" s="8">
        <f t="shared" si="9"/>
        <v>0.2670149478</v>
      </c>
      <c r="U61" s="8">
        <f t="shared" si="10"/>
        <v>0.1576564632</v>
      </c>
      <c r="V61" s="8">
        <f t="shared" ref="V61:W61" si="129">I61/N61</f>
        <v>0.1349015069</v>
      </c>
      <c r="W61" s="8">
        <f t="shared" si="129"/>
        <v>0.4778757892</v>
      </c>
      <c r="X61" s="8">
        <f t="shared" si="12"/>
        <v>0.4507888177</v>
      </c>
      <c r="Y61" s="8">
        <f t="shared" si="13"/>
        <v>0.07133539307</v>
      </c>
    </row>
    <row r="62">
      <c r="A62" s="4" t="s">
        <v>85</v>
      </c>
      <c r="B62" s="5">
        <v>3279946.0</v>
      </c>
      <c r="C62" s="5">
        <v>1442932.0</v>
      </c>
      <c r="D62" s="5">
        <v>1527846.0</v>
      </c>
      <c r="E62" s="5">
        <v>318496.0</v>
      </c>
      <c r="F62" s="5">
        <v>772659.0</v>
      </c>
      <c r="G62" s="5">
        <v>667373.0</v>
      </c>
      <c r="H62" s="5">
        <v>444187.0</v>
      </c>
      <c r="I62" s="5">
        <v>453541.0</v>
      </c>
      <c r="J62" s="5">
        <v>540806.0</v>
      </c>
      <c r="K62" s="5">
        <v>481922.0</v>
      </c>
      <c r="L62" s="5">
        <v>68348.0</v>
      </c>
      <c r="M62" s="6">
        <f t="shared" si="3"/>
        <v>2970778</v>
      </c>
      <c r="N62" s="6">
        <f t="shared" si="4"/>
        <v>2656256</v>
      </c>
      <c r="O62" s="7">
        <f t="shared" si="5"/>
        <v>1091076</v>
      </c>
      <c r="P62" s="8">
        <f t="shared" si="6"/>
        <v>0.4857084575</v>
      </c>
      <c r="Q62" s="8">
        <f t="shared" ref="Q62:R62" si="130">D62/M62</f>
        <v>0.5142915425</v>
      </c>
      <c r="R62" s="8">
        <f t="shared" si="130"/>
        <v>0.1199041056</v>
      </c>
      <c r="S62" s="8">
        <f t="shared" si="8"/>
        <v>0.2908827312</v>
      </c>
      <c r="T62" s="8">
        <f t="shared" si="9"/>
        <v>0.2512457384</v>
      </c>
      <c r="U62" s="8">
        <f t="shared" si="10"/>
        <v>0.1672229634</v>
      </c>
      <c r="V62" s="8">
        <f t="shared" ref="V62:W62" si="131">I62/N62</f>
        <v>0.1707444614</v>
      </c>
      <c r="W62" s="8">
        <f t="shared" si="131"/>
        <v>0.4956629969</v>
      </c>
      <c r="X62" s="8">
        <f t="shared" si="12"/>
        <v>0.4416942541</v>
      </c>
      <c r="Y62" s="8">
        <f t="shared" si="13"/>
        <v>0.06264274899</v>
      </c>
    </row>
    <row r="63">
      <c r="A63" s="4" t="s">
        <v>86</v>
      </c>
      <c r="B63" s="5">
        <v>4002075.0</v>
      </c>
      <c r="C63" s="5">
        <v>1455561.0</v>
      </c>
      <c r="D63" s="5">
        <v>2154602.0</v>
      </c>
      <c r="E63" s="5">
        <v>298394.0</v>
      </c>
      <c r="F63" s="5">
        <v>815007.0</v>
      </c>
      <c r="G63" s="5">
        <v>796158.0</v>
      </c>
      <c r="H63" s="5">
        <v>559385.0</v>
      </c>
      <c r="I63" s="5">
        <v>640833.0</v>
      </c>
      <c r="J63" s="5">
        <v>695194.0</v>
      </c>
      <c r="K63" s="5">
        <v>550946.0</v>
      </c>
      <c r="L63" s="5">
        <v>71683.0</v>
      </c>
      <c r="M63" s="6">
        <f t="shared" si="3"/>
        <v>3610163</v>
      </c>
      <c r="N63" s="6">
        <f t="shared" si="4"/>
        <v>3109777</v>
      </c>
      <c r="O63" s="7">
        <f t="shared" si="5"/>
        <v>1317823</v>
      </c>
      <c r="P63" s="8">
        <f t="shared" si="6"/>
        <v>0.4031842884</v>
      </c>
      <c r="Q63" s="8">
        <f t="shared" ref="Q63:R63" si="132">D63/M63</f>
        <v>0.5968157116</v>
      </c>
      <c r="R63" s="8">
        <f t="shared" si="132"/>
        <v>0.09595350406</v>
      </c>
      <c r="S63" s="8">
        <f t="shared" si="8"/>
        <v>0.2620789208</v>
      </c>
      <c r="T63" s="8">
        <f t="shared" si="9"/>
        <v>0.2560177145</v>
      </c>
      <c r="U63" s="8">
        <f t="shared" si="10"/>
        <v>0.1798794576</v>
      </c>
      <c r="V63" s="8">
        <f t="shared" ref="V63:W63" si="133">I63/N63</f>
        <v>0.2060704031</v>
      </c>
      <c r="W63" s="8">
        <f t="shared" si="133"/>
        <v>0.5275321496</v>
      </c>
      <c r="X63" s="8">
        <f t="shared" si="12"/>
        <v>0.4180728368</v>
      </c>
      <c r="Y63" s="8">
        <f t="shared" si="13"/>
        <v>0.05439501359</v>
      </c>
    </row>
    <row r="64">
      <c r="A64" s="4" t="s">
        <v>87</v>
      </c>
      <c r="B64" s="5">
        <v>530085.0</v>
      </c>
      <c r="C64" s="5">
        <v>146600.0</v>
      </c>
      <c r="D64" s="5">
        <v>329195.0</v>
      </c>
      <c r="E64" s="5">
        <v>70795.0</v>
      </c>
      <c r="F64" s="5">
        <v>135869.0</v>
      </c>
      <c r="G64" s="5">
        <v>99604.0</v>
      </c>
      <c r="H64" s="5">
        <v>60998.0</v>
      </c>
      <c r="I64" s="5">
        <v>53346.0</v>
      </c>
      <c r="J64" s="5">
        <v>87200.0</v>
      </c>
      <c r="K64" s="5">
        <v>56806.0</v>
      </c>
      <c r="L64" s="5">
        <v>5250.0</v>
      </c>
      <c r="M64" s="6">
        <f t="shared" si="3"/>
        <v>475795</v>
      </c>
      <c r="N64" s="6">
        <f t="shared" si="4"/>
        <v>420612</v>
      </c>
      <c r="O64" s="7">
        <f t="shared" si="5"/>
        <v>149256</v>
      </c>
      <c r="P64" s="8">
        <f t="shared" si="6"/>
        <v>0.3081158902</v>
      </c>
      <c r="Q64" s="8">
        <f t="shared" ref="Q64:R64" si="134">D64/M64</f>
        <v>0.6918841098</v>
      </c>
      <c r="R64" s="8">
        <f t="shared" si="134"/>
        <v>0.1683142659</v>
      </c>
      <c r="S64" s="8">
        <f t="shared" si="8"/>
        <v>0.3230269227</v>
      </c>
      <c r="T64" s="8">
        <f t="shared" si="9"/>
        <v>0.2368073189</v>
      </c>
      <c r="U64" s="8">
        <f t="shared" si="10"/>
        <v>0.1450220155</v>
      </c>
      <c r="V64" s="8">
        <f t="shared" ref="V64:W64" si="135">I64/N64</f>
        <v>0.126829477</v>
      </c>
      <c r="W64" s="8">
        <f t="shared" si="135"/>
        <v>0.5842311197</v>
      </c>
      <c r="X64" s="8">
        <f t="shared" si="12"/>
        <v>0.380594415</v>
      </c>
      <c r="Y64" s="8">
        <f t="shared" si="13"/>
        <v>0.03517446535</v>
      </c>
    </row>
    <row r="65">
      <c r="A65" s="4" t="s">
        <v>88</v>
      </c>
      <c r="B65" s="5">
        <v>1.1774302E7</v>
      </c>
      <c r="C65" s="5">
        <v>4481500.0</v>
      </c>
      <c r="D65" s="5">
        <v>5124189.0</v>
      </c>
      <c r="E65" s="5">
        <v>797905.0</v>
      </c>
      <c r="F65" s="5">
        <v>1874053.0</v>
      </c>
      <c r="G65" s="5">
        <v>1767294.0</v>
      </c>
      <c r="H65" s="5">
        <v>1325562.0</v>
      </c>
      <c r="I65" s="5">
        <v>1565995.0</v>
      </c>
      <c r="J65" s="5">
        <v>1667459.0</v>
      </c>
      <c r="K65" s="5">
        <v>1259688.0</v>
      </c>
      <c r="L65" s="5">
        <v>173174.0</v>
      </c>
      <c r="M65" s="6">
        <f t="shared" si="3"/>
        <v>9605689</v>
      </c>
      <c r="N65" s="6">
        <f t="shared" si="4"/>
        <v>7330809</v>
      </c>
      <c r="O65" s="7">
        <f t="shared" si="5"/>
        <v>3100321</v>
      </c>
      <c r="P65" s="8">
        <f t="shared" si="6"/>
        <v>0.4665464393</v>
      </c>
      <c r="Q65" s="8">
        <f t="shared" ref="Q65:R65" si="136">D65/M65</f>
        <v>0.5334535607</v>
      </c>
      <c r="R65" s="8">
        <f t="shared" si="136"/>
        <v>0.1088426939</v>
      </c>
      <c r="S65" s="8">
        <f t="shared" si="8"/>
        <v>0.2556406803</v>
      </c>
      <c r="T65" s="8">
        <f t="shared" si="9"/>
        <v>0.2410776219</v>
      </c>
      <c r="U65" s="8">
        <f t="shared" si="10"/>
        <v>0.180820698</v>
      </c>
      <c r="V65" s="8">
        <f t="shared" ref="V65:W65" si="137">I65/N65</f>
        <v>0.213618306</v>
      </c>
      <c r="W65" s="8">
        <f t="shared" si="137"/>
        <v>0.5378343081</v>
      </c>
      <c r="X65" s="8">
        <f t="shared" si="12"/>
        <v>0.4063088951</v>
      </c>
      <c r="Y65" s="8">
        <f t="shared" si="13"/>
        <v>0.05585679676</v>
      </c>
    </row>
    <row r="66">
      <c r="A66" s="4" t="s">
        <v>89</v>
      </c>
      <c r="B66" s="5">
        <v>0.0</v>
      </c>
      <c r="C66" s="5">
        <v>0.0</v>
      </c>
      <c r="D66" s="5">
        <v>0.0</v>
      </c>
      <c r="E66" s="5">
        <v>0.0</v>
      </c>
      <c r="F66" s="5">
        <v>0.0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6">
        <f t="shared" si="3"/>
        <v>0</v>
      </c>
      <c r="N66" s="6">
        <f t="shared" si="4"/>
        <v>0</v>
      </c>
      <c r="O66" s="7">
        <f t="shared" si="5"/>
        <v>0</v>
      </c>
      <c r="P66" s="8" t="str">
        <f t="shared" si="6"/>
        <v>#DIV/0!</v>
      </c>
      <c r="Q66" s="8" t="str">
        <f t="shared" ref="Q66:R66" si="138">D66/M66</f>
        <v>#DIV/0!</v>
      </c>
      <c r="R66" s="8" t="str">
        <f t="shared" si="138"/>
        <v>#DIV/0!</v>
      </c>
      <c r="S66" s="8" t="str">
        <f t="shared" si="8"/>
        <v>#DIV/0!</v>
      </c>
      <c r="T66" s="8" t="str">
        <f t="shared" si="9"/>
        <v>#DIV/0!</v>
      </c>
      <c r="U66" s="8" t="str">
        <f t="shared" si="10"/>
        <v>#DIV/0!</v>
      </c>
      <c r="V66" s="8" t="str">
        <f t="shared" ref="V66:W66" si="139">I66/N66</f>
        <v>#DIV/0!</v>
      </c>
      <c r="W66" s="8" t="str">
        <f t="shared" si="139"/>
        <v>#DIV/0!</v>
      </c>
      <c r="X66" s="8" t="str">
        <f t="shared" si="12"/>
        <v>#DIV/0!</v>
      </c>
      <c r="Y66" s="8" t="str">
        <f t="shared" si="13"/>
        <v>#DIV/0!</v>
      </c>
    </row>
    <row r="67">
      <c r="A67" s="4" t="s">
        <v>90</v>
      </c>
      <c r="B67" s="5">
        <v>519022.0</v>
      </c>
      <c r="C67" s="5">
        <v>239595.0</v>
      </c>
      <c r="D67" s="5">
        <v>245067.0</v>
      </c>
      <c r="E67" s="5">
        <v>73697.0</v>
      </c>
      <c r="F67" s="5">
        <v>145669.0</v>
      </c>
      <c r="G67" s="5">
        <v>99474.0</v>
      </c>
      <c r="H67" s="5">
        <v>61747.0</v>
      </c>
      <c r="I67" s="5">
        <v>55420.0</v>
      </c>
      <c r="J67" s="5">
        <v>80611.0</v>
      </c>
      <c r="K67" s="5">
        <v>81498.0</v>
      </c>
      <c r="L67" s="5">
        <v>12441.0</v>
      </c>
      <c r="M67" s="6">
        <f t="shared" si="3"/>
        <v>484662</v>
      </c>
      <c r="N67" s="6">
        <f t="shared" si="4"/>
        <v>436007</v>
      </c>
      <c r="O67" s="7">
        <f t="shared" si="5"/>
        <v>174550</v>
      </c>
      <c r="P67" s="8">
        <f t="shared" si="6"/>
        <v>0.4943548287</v>
      </c>
      <c r="Q67" s="8">
        <f t="shared" ref="Q67:R67" si="140">D67/M67</f>
        <v>0.5056451713</v>
      </c>
      <c r="R67" s="8">
        <f t="shared" si="140"/>
        <v>0.1690271028</v>
      </c>
      <c r="S67" s="8">
        <f t="shared" si="8"/>
        <v>0.3340978471</v>
      </c>
      <c r="T67" s="8">
        <f t="shared" si="9"/>
        <v>0.2281477132</v>
      </c>
      <c r="U67" s="8">
        <f t="shared" si="10"/>
        <v>0.1416192859</v>
      </c>
      <c r="V67" s="8">
        <f t="shared" ref="V67:W67" si="141">I67/N67</f>
        <v>0.127108051</v>
      </c>
      <c r="W67" s="8">
        <f t="shared" si="141"/>
        <v>0.4618218276</v>
      </c>
      <c r="X67" s="8">
        <f t="shared" si="12"/>
        <v>0.4669034661</v>
      </c>
      <c r="Y67" s="8">
        <f t="shared" si="13"/>
        <v>0.07127470639</v>
      </c>
    </row>
    <row r="68">
      <c r="A68" s="4" t="s">
        <v>91</v>
      </c>
      <c r="B68" s="5">
        <v>4817937.0</v>
      </c>
      <c r="C68" s="5">
        <v>1901030.0</v>
      </c>
      <c r="D68" s="5">
        <v>2432829.0</v>
      </c>
      <c r="E68" s="5">
        <v>298704.0</v>
      </c>
      <c r="F68" s="5">
        <v>898766.0</v>
      </c>
      <c r="G68" s="5">
        <v>956273.0</v>
      </c>
      <c r="H68" s="5">
        <v>714675.0</v>
      </c>
      <c r="I68" s="5">
        <v>883773.0</v>
      </c>
      <c r="J68" s="5">
        <v>841187.0</v>
      </c>
      <c r="K68" s="5">
        <v>707413.0</v>
      </c>
      <c r="L68" s="5">
        <v>101295.0</v>
      </c>
      <c r="M68" s="6">
        <f t="shared" si="3"/>
        <v>4333859</v>
      </c>
      <c r="N68" s="6">
        <f t="shared" si="4"/>
        <v>3752191</v>
      </c>
      <c r="O68" s="7">
        <f t="shared" si="5"/>
        <v>1649895</v>
      </c>
      <c r="P68" s="8">
        <f t="shared" si="6"/>
        <v>0.4386460196</v>
      </c>
      <c r="Q68" s="8">
        <f t="shared" ref="Q68:R68" si="142">D68/M68</f>
        <v>0.5613539804</v>
      </c>
      <c r="R68" s="8">
        <f t="shared" si="142"/>
        <v>0.07960788776</v>
      </c>
      <c r="S68" s="8">
        <f t="shared" si="8"/>
        <v>0.2395309834</v>
      </c>
      <c r="T68" s="8">
        <f t="shared" si="9"/>
        <v>0.2548572287</v>
      </c>
      <c r="U68" s="8">
        <f t="shared" si="10"/>
        <v>0.1904687155</v>
      </c>
      <c r="V68" s="8">
        <f t="shared" ref="V68:W68" si="143">I68/N68</f>
        <v>0.2355351846</v>
      </c>
      <c r="W68" s="8">
        <f t="shared" si="143"/>
        <v>0.5098427476</v>
      </c>
      <c r="X68" s="8">
        <f t="shared" si="12"/>
        <v>0.4287624364</v>
      </c>
      <c r="Y68" s="8">
        <f t="shared" si="13"/>
        <v>0.06139481603</v>
      </c>
    </row>
    <row r="69">
      <c r="A69" s="4" t="s">
        <v>92</v>
      </c>
      <c r="B69" s="5">
        <v>1724043.0</v>
      </c>
      <c r="C69" s="5">
        <v>758956.0</v>
      </c>
      <c r="D69" s="5">
        <v>874784.0</v>
      </c>
      <c r="E69" s="5">
        <v>176580.0</v>
      </c>
      <c r="F69" s="5">
        <v>457213.0</v>
      </c>
      <c r="G69" s="5">
        <v>377617.0</v>
      </c>
      <c r="H69" s="5">
        <v>235552.0</v>
      </c>
      <c r="I69" s="5">
        <v>200666.0</v>
      </c>
      <c r="J69" s="5">
        <v>316833.0</v>
      </c>
      <c r="K69" s="5">
        <v>269878.0</v>
      </c>
      <c r="L69" s="5">
        <v>35644.0</v>
      </c>
      <c r="M69" s="6">
        <f t="shared" si="3"/>
        <v>1633740</v>
      </c>
      <c r="N69" s="6">
        <f t="shared" si="4"/>
        <v>1447628</v>
      </c>
      <c r="O69" s="7">
        <f t="shared" si="5"/>
        <v>622355</v>
      </c>
      <c r="P69" s="8">
        <f t="shared" si="6"/>
        <v>0.464551275</v>
      </c>
      <c r="Q69" s="8">
        <f t="shared" ref="Q69:R69" si="144">D69/M69</f>
        <v>0.535448725</v>
      </c>
      <c r="R69" s="8">
        <f t="shared" si="144"/>
        <v>0.1219788509</v>
      </c>
      <c r="S69" s="8">
        <f t="shared" si="8"/>
        <v>0.3158359744</v>
      </c>
      <c r="T69" s="8">
        <f t="shared" si="9"/>
        <v>0.2608522355</v>
      </c>
      <c r="U69" s="8">
        <f t="shared" si="10"/>
        <v>0.1627158358</v>
      </c>
      <c r="V69" s="8">
        <f t="shared" ref="V69:W69" si="145">I69/N69</f>
        <v>0.1386171033</v>
      </c>
      <c r="W69" s="8">
        <f t="shared" si="145"/>
        <v>0.5090872573</v>
      </c>
      <c r="X69" s="8">
        <f t="shared" si="12"/>
        <v>0.4336399643</v>
      </c>
      <c r="Y69" s="8">
        <f t="shared" si="13"/>
        <v>0.0572727784</v>
      </c>
    </row>
    <row r="70">
      <c r="A70" s="4" t="s">
        <v>93</v>
      </c>
      <c r="B70" s="5">
        <v>1.0031604E7</v>
      </c>
      <c r="C70" s="5">
        <v>3854985.0</v>
      </c>
      <c r="D70" s="5">
        <v>4382538.0</v>
      </c>
      <c r="E70" s="5">
        <v>726191.0</v>
      </c>
      <c r="F70" s="5">
        <v>1680767.0</v>
      </c>
      <c r="G70" s="5">
        <v>1550142.0</v>
      </c>
      <c r="H70" s="5">
        <v>1147288.0</v>
      </c>
      <c r="I70" s="5">
        <v>1335389.0</v>
      </c>
      <c r="J70" s="5">
        <v>1431845.0</v>
      </c>
      <c r="K70" s="5">
        <v>1105373.0</v>
      </c>
      <c r="L70" s="5">
        <v>161384.0</v>
      </c>
      <c r="M70" s="6">
        <f t="shared" si="3"/>
        <v>8237523</v>
      </c>
      <c r="N70" s="6">
        <f t="shared" si="4"/>
        <v>6439777</v>
      </c>
      <c r="O70" s="7">
        <f t="shared" si="5"/>
        <v>2698602</v>
      </c>
      <c r="P70" s="8">
        <f t="shared" si="6"/>
        <v>0.467978663</v>
      </c>
      <c r="Q70" s="8">
        <f t="shared" ref="Q70:R70" si="146">D70/M70</f>
        <v>0.532021337</v>
      </c>
      <c r="R70" s="8">
        <f t="shared" si="146"/>
        <v>0.1127664824</v>
      </c>
      <c r="S70" s="8">
        <f t="shared" si="8"/>
        <v>0.2609977022</v>
      </c>
      <c r="T70" s="8">
        <f t="shared" si="9"/>
        <v>0.2407136148</v>
      </c>
      <c r="U70" s="8">
        <f t="shared" si="10"/>
        <v>0.1781564796</v>
      </c>
      <c r="V70" s="8">
        <f t="shared" ref="V70:W70" si="147">I70/N70</f>
        <v>0.2073657209</v>
      </c>
      <c r="W70" s="8">
        <f t="shared" si="147"/>
        <v>0.5305876895</v>
      </c>
      <c r="X70" s="8">
        <f t="shared" si="12"/>
        <v>0.4096094941</v>
      </c>
      <c r="Y70" s="8">
        <f t="shared" si="13"/>
        <v>0.05980281642</v>
      </c>
    </row>
    <row r="71">
      <c r="A71" s="4" t="s">
        <v>94</v>
      </c>
      <c r="B71" s="5">
        <v>5525265.0</v>
      </c>
      <c r="C71" s="5">
        <v>2047208.0</v>
      </c>
      <c r="D71" s="5">
        <v>2422412.0</v>
      </c>
      <c r="E71" s="5">
        <v>373499.0</v>
      </c>
      <c r="F71" s="5">
        <v>868907.0</v>
      </c>
      <c r="G71" s="5">
        <v>860210.0</v>
      </c>
      <c r="H71" s="5">
        <v>642753.0</v>
      </c>
      <c r="I71" s="5">
        <v>744399.0</v>
      </c>
      <c r="J71" s="5">
        <v>807529.0</v>
      </c>
      <c r="K71" s="5">
        <v>567562.0</v>
      </c>
      <c r="L71" s="5">
        <v>68032.0</v>
      </c>
      <c r="M71" s="6">
        <f t="shared" si="3"/>
        <v>4469620</v>
      </c>
      <c r="N71" s="6">
        <f t="shared" si="4"/>
        <v>3489768</v>
      </c>
      <c r="O71" s="7">
        <f t="shared" si="5"/>
        <v>1443123</v>
      </c>
      <c r="P71" s="8">
        <f t="shared" si="6"/>
        <v>0.4580273043</v>
      </c>
      <c r="Q71" s="8">
        <f t="shared" ref="Q71:R71" si="148">D71/M71</f>
        <v>0.5419726957</v>
      </c>
      <c r="R71" s="8">
        <f t="shared" si="148"/>
        <v>0.1070268855</v>
      </c>
      <c r="S71" s="8">
        <f t="shared" si="8"/>
        <v>0.2489870387</v>
      </c>
      <c r="T71" s="8">
        <f t="shared" si="9"/>
        <v>0.2464948959</v>
      </c>
      <c r="U71" s="8">
        <f t="shared" si="10"/>
        <v>0.1841821577</v>
      </c>
      <c r="V71" s="8">
        <f t="shared" ref="V71:W71" si="149">I71/N71</f>
        <v>0.2133090223</v>
      </c>
      <c r="W71" s="8">
        <f t="shared" si="149"/>
        <v>0.5595704593</v>
      </c>
      <c r="X71" s="8">
        <f t="shared" si="12"/>
        <v>0.3932873359</v>
      </c>
      <c r="Y71" s="8">
        <f t="shared" si="13"/>
        <v>0.04714220479</v>
      </c>
    </row>
    <row r="72">
      <c r="A72" s="4" t="s">
        <v>95</v>
      </c>
      <c r="B72" s="5">
        <v>7455112.0</v>
      </c>
      <c r="C72" s="5">
        <v>3096653.0</v>
      </c>
      <c r="D72" s="5">
        <v>3587596.0</v>
      </c>
      <c r="E72" s="5">
        <v>632379.0</v>
      </c>
      <c r="F72" s="5">
        <v>1539587.0</v>
      </c>
      <c r="G72" s="5">
        <v>1405954.0</v>
      </c>
      <c r="H72" s="5">
        <v>984127.0</v>
      </c>
      <c r="I72" s="5">
        <v>1040753.0</v>
      </c>
      <c r="J72" s="5">
        <v>1252940.0</v>
      </c>
      <c r="K72" s="5">
        <v>959136.0</v>
      </c>
      <c r="L72" s="5">
        <v>125263.0</v>
      </c>
      <c r="M72" s="6">
        <f t="shared" si="3"/>
        <v>6684249</v>
      </c>
      <c r="N72" s="6">
        <f t="shared" si="4"/>
        <v>5602800</v>
      </c>
      <c r="O72" s="7">
        <f t="shared" si="5"/>
        <v>2337339</v>
      </c>
      <c r="P72" s="8">
        <f t="shared" si="6"/>
        <v>0.4632761287</v>
      </c>
      <c r="Q72" s="8">
        <f t="shared" ref="Q72:R72" si="150">D72/M72</f>
        <v>0.5367238713</v>
      </c>
      <c r="R72" s="8">
        <f t="shared" si="150"/>
        <v>0.1128683872</v>
      </c>
      <c r="S72" s="8">
        <f t="shared" si="8"/>
        <v>0.2747888556</v>
      </c>
      <c r="T72" s="8">
        <f t="shared" si="9"/>
        <v>0.2509377454</v>
      </c>
      <c r="U72" s="8">
        <f t="shared" si="10"/>
        <v>0.1756491397</v>
      </c>
      <c r="V72" s="8">
        <f t="shared" ref="V72:W72" si="151">I72/N72</f>
        <v>0.1857558721</v>
      </c>
      <c r="W72" s="8">
        <f t="shared" si="151"/>
        <v>0.5360540341</v>
      </c>
      <c r="X72" s="8">
        <f t="shared" si="12"/>
        <v>0.4103538254</v>
      </c>
      <c r="Y72" s="8">
        <f t="shared" si="13"/>
        <v>0.05359214046</v>
      </c>
    </row>
    <row r="73">
      <c r="A73" s="4" t="s">
        <v>96</v>
      </c>
      <c r="B73" s="5">
        <v>0.0</v>
      </c>
      <c r="C73" s="5">
        <v>0.0</v>
      </c>
      <c r="D73" s="5">
        <v>0.0</v>
      </c>
      <c r="E73" s="5">
        <v>0.0</v>
      </c>
      <c r="F73" s="5">
        <v>0.0</v>
      </c>
      <c r="G73" s="5">
        <v>0.0</v>
      </c>
      <c r="H73" s="5">
        <v>0.0</v>
      </c>
      <c r="I73" s="5">
        <v>0.0</v>
      </c>
      <c r="J73" s="5">
        <v>0.0</v>
      </c>
      <c r="K73" s="5">
        <v>0.0</v>
      </c>
      <c r="L73" s="5">
        <v>0.0</v>
      </c>
      <c r="M73" s="6">
        <f t="shared" si="3"/>
        <v>0</v>
      </c>
      <c r="N73" s="6">
        <f t="shared" si="4"/>
        <v>0</v>
      </c>
      <c r="O73" s="7">
        <f t="shared" si="5"/>
        <v>0</v>
      </c>
      <c r="P73" s="8" t="str">
        <f t="shared" si="6"/>
        <v>#DIV/0!</v>
      </c>
      <c r="Q73" s="8" t="str">
        <f t="shared" ref="Q73:R73" si="152">D73/M73</f>
        <v>#DIV/0!</v>
      </c>
      <c r="R73" s="8" t="str">
        <f t="shared" si="152"/>
        <v>#DIV/0!</v>
      </c>
      <c r="S73" s="8" t="str">
        <f t="shared" si="8"/>
        <v>#DIV/0!</v>
      </c>
      <c r="T73" s="8" t="str">
        <f t="shared" si="9"/>
        <v>#DIV/0!</v>
      </c>
      <c r="U73" s="8" t="str">
        <f t="shared" si="10"/>
        <v>#DIV/0!</v>
      </c>
      <c r="V73" s="8" t="str">
        <f t="shared" ref="V73:W73" si="153">I73/N73</f>
        <v>#DIV/0!</v>
      </c>
      <c r="W73" s="8" t="str">
        <f t="shared" si="153"/>
        <v>#DIV/0!</v>
      </c>
      <c r="X73" s="8" t="str">
        <f t="shared" si="12"/>
        <v>#DIV/0!</v>
      </c>
      <c r="Y73" s="8" t="str">
        <f t="shared" si="13"/>
        <v>#DIV/0!</v>
      </c>
    </row>
    <row r="74">
      <c r="A74" s="4" t="s">
        <v>97</v>
      </c>
      <c r="B74" s="5">
        <v>879933.0</v>
      </c>
      <c r="C74" s="5">
        <v>411046.0</v>
      </c>
      <c r="D74" s="5">
        <v>428085.0</v>
      </c>
      <c r="E74" s="5">
        <v>83302.0</v>
      </c>
      <c r="F74" s="5">
        <v>250105.0</v>
      </c>
      <c r="G74" s="5">
        <v>197426.0</v>
      </c>
      <c r="H74" s="5">
        <v>116023.0</v>
      </c>
      <c r="I74" s="5">
        <v>105160.0</v>
      </c>
      <c r="J74" s="5">
        <v>163863.0</v>
      </c>
      <c r="K74" s="5">
        <v>162678.0</v>
      </c>
      <c r="L74" s="5">
        <v>21705.0</v>
      </c>
      <c r="M74" s="6">
        <f t="shared" si="3"/>
        <v>839131</v>
      </c>
      <c r="N74" s="6">
        <f t="shared" si="4"/>
        <v>752016</v>
      </c>
      <c r="O74" s="7">
        <f t="shared" si="5"/>
        <v>348246</v>
      </c>
      <c r="P74" s="8">
        <f t="shared" si="6"/>
        <v>0.4898472348</v>
      </c>
      <c r="Q74" s="8">
        <f t="shared" ref="Q74:R74" si="154">D74/M74</f>
        <v>0.5101527652</v>
      </c>
      <c r="R74" s="8">
        <f t="shared" si="154"/>
        <v>0.1107715793</v>
      </c>
      <c r="S74" s="8">
        <f t="shared" si="8"/>
        <v>0.33257936</v>
      </c>
      <c r="T74" s="8">
        <f t="shared" si="9"/>
        <v>0.2625289887</v>
      </c>
      <c r="U74" s="8">
        <f t="shared" si="10"/>
        <v>0.1542826216</v>
      </c>
      <c r="V74" s="8">
        <f t="shared" ref="V74:W74" si="155">I74/N74</f>
        <v>0.1398374503</v>
      </c>
      <c r="W74" s="8">
        <f t="shared" si="155"/>
        <v>0.4705380679</v>
      </c>
      <c r="X74" s="8">
        <f t="shared" si="12"/>
        <v>0.4671353009</v>
      </c>
      <c r="Y74" s="8">
        <f t="shared" si="13"/>
        <v>0.06232663117</v>
      </c>
    </row>
    <row r="75">
      <c r="A75" s="4" t="s">
        <v>98</v>
      </c>
      <c r="B75" s="5">
        <v>4407954.0</v>
      </c>
      <c r="C75" s="5">
        <v>1872422.0</v>
      </c>
      <c r="D75" s="5">
        <v>2089570.0</v>
      </c>
      <c r="E75" s="5">
        <v>404860.0</v>
      </c>
      <c r="F75" s="5">
        <v>969051.0</v>
      </c>
      <c r="G75" s="5">
        <v>840400.0</v>
      </c>
      <c r="H75" s="5">
        <v>576695.0</v>
      </c>
      <c r="I75" s="5">
        <v>603791.0</v>
      </c>
      <c r="J75" s="5">
        <v>682564.0</v>
      </c>
      <c r="K75" s="5">
        <v>631580.0</v>
      </c>
      <c r="L75" s="5">
        <v>101838.0</v>
      </c>
      <c r="M75" s="6">
        <f t="shared" si="3"/>
        <v>3961992</v>
      </c>
      <c r="N75" s="6">
        <f t="shared" si="4"/>
        <v>3394797</v>
      </c>
      <c r="O75" s="7">
        <f t="shared" si="5"/>
        <v>1415982</v>
      </c>
      <c r="P75" s="8">
        <f t="shared" si="6"/>
        <v>0.4725961082</v>
      </c>
      <c r="Q75" s="8">
        <f t="shared" ref="Q75:R75" si="156">D75/M75</f>
        <v>0.5274038918</v>
      </c>
      <c r="R75" s="8">
        <f t="shared" si="156"/>
        <v>0.1192589719</v>
      </c>
      <c r="S75" s="8">
        <f t="shared" si="8"/>
        <v>0.2854518252</v>
      </c>
      <c r="T75" s="8">
        <f t="shared" si="9"/>
        <v>0.247555303</v>
      </c>
      <c r="U75" s="8">
        <f t="shared" si="10"/>
        <v>0.1698761369</v>
      </c>
      <c r="V75" s="8">
        <f t="shared" ref="V75:W75" si="157">I75/N75</f>
        <v>0.1778577629</v>
      </c>
      <c r="W75" s="8">
        <f t="shared" si="157"/>
        <v>0.4820428508</v>
      </c>
      <c r="X75" s="8">
        <f t="shared" si="12"/>
        <v>0.4460367434</v>
      </c>
      <c r="Y75" s="8">
        <f t="shared" si="13"/>
        <v>0.07192040577</v>
      </c>
    </row>
    <row r="76">
      <c r="A76" s="4" t="s">
        <v>99</v>
      </c>
      <c r="B76" s="5">
        <v>1083887.0</v>
      </c>
      <c r="C76" s="5">
        <v>623249.0</v>
      </c>
      <c r="D76" s="5">
        <v>362479.0</v>
      </c>
      <c r="E76" s="5">
        <v>150848.0</v>
      </c>
      <c r="F76" s="5">
        <v>271883.0</v>
      </c>
      <c r="G76" s="5">
        <v>199775.0</v>
      </c>
      <c r="H76" s="5">
        <v>128572.0</v>
      </c>
      <c r="I76" s="5">
        <v>125846.0</v>
      </c>
      <c r="J76" s="5">
        <v>165709.0</v>
      </c>
      <c r="K76" s="5">
        <v>137379.0</v>
      </c>
      <c r="L76" s="5">
        <v>19807.0</v>
      </c>
      <c r="M76" s="6">
        <f t="shared" si="3"/>
        <v>985728</v>
      </c>
      <c r="N76" s="6">
        <f t="shared" si="4"/>
        <v>876924</v>
      </c>
      <c r="O76" s="7">
        <f t="shared" si="5"/>
        <v>322895</v>
      </c>
      <c r="P76" s="8">
        <f t="shared" si="6"/>
        <v>0.6322727974</v>
      </c>
      <c r="Q76" s="8">
        <f t="shared" ref="Q76:R76" si="158">D76/M76</f>
        <v>0.3677272026</v>
      </c>
      <c r="R76" s="8">
        <f t="shared" si="158"/>
        <v>0.172019468</v>
      </c>
      <c r="S76" s="8">
        <f t="shared" si="8"/>
        <v>0.3100416912</v>
      </c>
      <c r="T76" s="8">
        <f t="shared" si="9"/>
        <v>0.2278133567</v>
      </c>
      <c r="U76" s="8">
        <f t="shared" si="10"/>
        <v>0.1466170386</v>
      </c>
      <c r="V76" s="8">
        <f t="shared" ref="V76:W76" si="159">I76/N76</f>
        <v>0.1435084454</v>
      </c>
      <c r="W76" s="8">
        <f t="shared" si="159"/>
        <v>0.5131977888</v>
      </c>
      <c r="X76" s="8">
        <f t="shared" si="12"/>
        <v>0.4254602889</v>
      </c>
      <c r="Y76" s="8">
        <f t="shared" si="13"/>
        <v>0.0613419223</v>
      </c>
    </row>
  </sheetData>
  <drawing r:id="rId1"/>
</worksheet>
</file>